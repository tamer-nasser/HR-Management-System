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11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ivotTables/pivotTable12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pivotTables/pivotTable13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pivotTables/pivotTable14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pivotTables/pivotTable15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pivotTables/pivotTable16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pivotTables/pivotTable17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pivotTables/pivotTable18.xml" ContentType="application/vnd.openxmlformats-officedocument.spreadsheetml.pivot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tabRatio="990" firstSheet="4" activeTab="4"/>
  </bookViews>
  <sheets>
    <sheet name="ورقة5" sheetId="5" r:id="rId1"/>
    <sheet name="ورقة4" sheetId="6" r:id="rId2"/>
    <sheet name="ورقة6" sheetId="7" r:id="rId3"/>
    <sheet name="ورقة7" sheetId="8" r:id="rId4"/>
    <sheet name="ورقة3" sheetId="10" r:id="rId5"/>
    <sheet name="ورقة8" sheetId="12" r:id="rId6"/>
    <sheet name="ورقة9" sheetId="13" r:id="rId7"/>
    <sheet name="ورقة10" sheetId="14" r:id="rId8"/>
    <sheet name="ورقة11" sheetId="15" r:id="rId9"/>
    <sheet name="مجموع  salary" sheetId="16" r:id="rId10"/>
    <sheet name="idعدد1" sheetId="17" r:id="rId11"/>
    <sheet name="performance score" sheetId="18" r:id="rId12"/>
    <sheet name="IDعدد" sheetId="19" r:id="rId13"/>
    <sheet name="current and proposed salary" sheetId="20" r:id="rId14"/>
    <sheet name="ID" sheetId="26" r:id="rId15"/>
    <sheet name="Savings" sheetId="27" r:id="rId16"/>
    <sheet name="Reduction" sheetId="28" r:id="rId17"/>
    <sheet name="ورقة25" sheetId="29" r:id="rId18"/>
    <sheet name="ورقة1" sheetId="1" r:id="rId19"/>
  </sheets>
  <calcPr calcId="144525"/>
  <pivotCaches>
    <pivotCache cacheId="1" r:id="rId20"/>
  </pivotCaches>
</workbook>
</file>

<file path=xl/calcChain.xml><?xml version="1.0" encoding="utf-8"?>
<calcChain xmlns="http://schemas.openxmlformats.org/spreadsheetml/2006/main">
  <c r="B116" i="1" l="1"/>
  <c r="B115" i="1"/>
  <c r="B114" i="1"/>
  <c r="B113" i="1"/>
  <c r="B112" i="1"/>
  <c r="B111" i="1"/>
  <c r="B110" i="1"/>
  <c r="B109" i="1"/>
  <c r="B108" i="1"/>
  <c r="B107" i="1"/>
  <c r="B106" i="1"/>
  <c r="B105" i="1"/>
  <c r="B102" i="1"/>
  <c r="F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G2" i="1" l="1"/>
  <c r="B104" i="1" s="1"/>
  <c r="B103" i="1"/>
</calcChain>
</file>

<file path=xl/sharedStrings.xml><?xml version="1.0" encoding="utf-8"?>
<sst xmlns="http://schemas.openxmlformats.org/spreadsheetml/2006/main" count="1052" uniqueCount="90">
  <si>
    <t>ID</t>
  </si>
  <si>
    <t>Department</t>
  </si>
  <si>
    <t>Executive</t>
  </si>
  <si>
    <t>CEO</t>
  </si>
  <si>
    <t>CFO</t>
  </si>
  <si>
    <t>COO</t>
  </si>
  <si>
    <t>IT</t>
  </si>
  <si>
    <t>HR</t>
  </si>
  <si>
    <t>Director</t>
  </si>
  <si>
    <t>Finance</t>
  </si>
  <si>
    <t>Operations</t>
  </si>
  <si>
    <t>Sales</t>
  </si>
  <si>
    <t>Manager</t>
  </si>
  <si>
    <t>Marketing</t>
  </si>
  <si>
    <t>Developer</t>
  </si>
  <si>
    <t>Accountant</t>
  </si>
  <si>
    <t>Officer</t>
  </si>
  <si>
    <t>Representative</t>
  </si>
  <si>
    <t>Supervisor</t>
  </si>
  <si>
    <t>Position</t>
  </si>
  <si>
    <t>Current Salary</t>
  </si>
  <si>
    <t>Proposed Salary</t>
  </si>
  <si>
    <t>Developer ,Senior</t>
  </si>
  <si>
    <t>Senior Accountant</t>
  </si>
  <si>
    <t>Senior Officer</t>
  </si>
  <si>
    <t>Senior Rep</t>
  </si>
  <si>
    <t>Specialist</t>
  </si>
  <si>
    <t>Coordinator</t>
  </si>
  <si>
    <t>Admin</t>
  </si>
  <si>
    <t>Assistant</t>
  </si>
  <si>
    <t>Support</t>
  </si>
  <si>
    <t>Agent</t>
  </si>
  <si>
    <t>Savings</t>
  </si>
  <si>
    <t>% Reduction</t>
  </si>
  <si>
    <t>Performance Score</t>
  </si>
  <si>
    <t>Years of Service</t>
  </si>
  <si>
    <t>Risk Level</t>
  </si>
  <si>
    <t>Recommendation</t>
  </si>
  <si>
    <t>Low</t>
  </si>
  <si>
    <t>Keep</t>
  </si>
  <si>
    <t>Medium</t>
  </si>
  <si>
    <t>Reduce</t>
  </si>
  <si>
    <t>High</t>
  </si>
  <si>
    <t>Review</t>
  </si>
  <si>
    <t>Attendance Rate %</t>
  </si>
  <si>
    <t>Overtime Hours</t>
  </si>
  <si>
    <t>Training Cost</t>
  </si>
  <si>
    <t>Monthly Revenue Generated</t>
  </si>
  <si>
    <t>Cost to Company</t>
  </si>
  <si>
    <t>Bonus Amount</t>
  </si>
  <si>
    <t>Manager Rating</t>
  </si>
  <si>
    <t>Promotion Eligible</t>
  </si>
  <si>
    <t>Remote Work</t>
  </si>
  <si>
    <t>Employment Type</t>
  </si>
  <si>
    <t>Yes</t>
  </si>
  <si>
    <t>Full-Time</t>
  </si>
  <si>
    <t>No</t>
  </si>
  <si>
    <t>Part-Time</t>
  </si>
  <si>
    <t>Contract</t>
  </si>
  <si>
    <t>Total Employees</t>
  </si>
  <si>
    <t>Total Savings</t>
  </si>
  <si>
    <t>Average Reduction %</t>
  </si>
  <si>
    <t>Maximum Salary</t>
  </si>
  <si>
    <t>Minimum Salary</t>
  </si>
  <si>
    <t>Average Salary</t>
  </si>
  <si>
    <t>Total Revenue</t>
  </si>
  <si>
    <t>Maximum Revenue</t>
  </si>
  <si>
    <t>Minimum Revenue</t>
  </si>
  <si>
    <t>Average Attendance</t>
  </si>
  <si>
    <t>Maximum Attendance</t>
  </si>
  <si>
    <t>Minimum Attendance</t>
  </si>
  <si>
    <t>Average Rating</t>
  </si>
  <si>
    <t>Maximum Rating</t>
  </si>
  <si>
    <t>Total Cost</t>
  </si>
  <si>
    <t>تسميات الصفوف</t>
  </si>
  <si>
    <t>الإجمالي الكلي</t>
  </si>
  <si>
    <t>مجموع من Cost to Company</t>
  </si>
  <si>
    <t>مجموع من Monthly Revenue Generated</t>
  </si>
  <si>
    <t>عدد من ID</t>
  </si>
  <si>
    <t>مجموع من Savings</t>
  </si>
  <si>
    <t>Job Satisfaction</t>
  </si>
  <si>
    <t>Absent Days</t>
  </si>
  <si>
    <t>Projects Completed</t>
  </si>
  <si>
    <t>Customer Rating</t>
  </si>
  <si>
    <t>Workload Level</t>
  </si>
  <si>
    <t>مجموع من Current Salary</t>
  </si>
  <si>
    <t>مجموع من Proposed Salary</t>
  </si>
  <si>
    <t>متوسط من % Reduction</t>
  </si>
  <si>
    <t>(فارغ)</t>
  </si>
  <si>
    <t>عدد من Performance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</si>
</sst>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[Employers Company.xlsx]ورقة8!PivotTable2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ورقة8!$B$3</c:f>
              <c:strCache>
                <c:ptCount val="1"/>
                <c:pt idx="0">
                  <c:v>الإجمالي</c:v>
                </c:pt>
              </c:strCache>
            </c:strRef>
          </c:tx>
          <c:marker>
            <c:symbol val="none"/>
          </c:marker>
          <c:cat>
            <c:strRef>
              <c:f>ورقة8!$A$4:$A$119</c:f>
              <c:strCache>
                <c:ptCount val="1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Average Attendance</c:v>
                </c:pt>
                <c:pt idx="101">
                  <c:v>Average Rating</c:v>
                </c:pt>
                <c:pt idx="102">
                  <c:v>Average Reduction %</c:v>
                </c:pt>
                <c:pt idx="103">
                  <c:v>Average Salary</c:v>
                </c:pt>
                <c:pt idx="104">
                  <c:v>Maximum Attendance</c:v>
                </c:pt>
                <c:pt idx="105">
                  <c:v>Maximum Rating</c:v>
                </c:pt>
                <c:pt idx="106">
                  <c:v>Maximum Revenue</c:v>
                </c:pt>
                <c:pt idx="107">
                  <c:v>Maximum Salary</c:v>
                </c:pt>
                <c:pt idx="108">
                  <c:v>Minimum Attendance</c:v>
                </c:pt>
                <c:pt idx="109">
                  <c:v>Minimum Revenue</c:v>
                </c:pt>
                <c:pt idx="110">
                  <c:v>Minimum Salary</c:v>
                </c:pt>
                <c:pt idx="111">
                  <c:v>Total Cost</c:v>
                </c:pt>
                <c:pt idx="112">
                  <c:v>Total Employees</c:v>
                </c:pt>
                <c:pt idx="113">
                  <c:v>Total Revenue</c:v>
                </c:pt>
                <c:pt idx="114">
                  <c:v>Total Savings</c:v>
                </c:pt>
              </c:strCache>
            </c:strRef>
          </c:cat>
          <c:val>
            <c:numRef>
              <c:f>ورقة8!$B$4:$B$119</c:f>
              <c:numCache>
                <c:formatCode>General</c:formatCode>
                <c:ptCount val="115"/>
                <c:pt idx="0">
                  <c:v>100000</c:v>
                </c:pt>
                <c:pt idx="1">
                  <c:v>60000</c:v>
                </c:pt>
                <c:pt idx="2">
                  <c:v>60000</c:v>
                </c:pt>
                <c:pt idx="3">
                  <c:v>35000</c:v>
                </c:pt>
                <c:pt idx="4">
                  <c:v>35000</c:v>
                </c:pt>
                <c:pt idx="5">
                  <c:v>30000</c:v>
                </c:pt>
                <c:pt idx="6">
                  <c:v>35000</c:v>
                </c:pt>
                <c:pt idx="7">
                  <c:v>30000</c:v>
                </c:pt>
                <c:pt idx="8">
                  <c:v>38000</c:v>
                </c:pt>
                <c:pt idx="9">
                  <c:v>30000</c:v>
                </c:pt>
                <c:pt idx="10">
                  <c:v>25000</c:v>
                </c:pt>
                <c:pt idx="11">
                  <c:v>25000</c:v>
                </c:pt>
                <c:pt idx="12">
                  <c:v>25000</c:v>
                </c:pt>
                <c:pt idx="13">
                  <c:v>25000</c:v>
                </c:pt>
                <c:pt idx="14">
                  <c:v>25000</c:v>
                </c:pt>
                <c:pt idx="15">
                  <c:v>25000</c:v>
                </c:pt>
                <c:pt idx="16">
                  <c:v>25000</c:v>
                </c:pt>
                <c:pt idx="17">
                  <c:v>25000</c:v>
                </c:pt>
                <c:pt idx="18">
                  <c:v>25000</c:v>
                </c:pt>
                <c:pt idx="19">
                  <c:v>25000</c:v>
                </c:pt>
                <c:pt idx="20">
                  <c:v>25000</c:v>
                </c:pt>
                <c:pt idx="21">
                  <c:v>25000</c:v>
                </c:pt>
                <c:pt idx="22">
                  <c:v>25000</c:v>
                </c:pt>
                <c:pt idx="23">
                  <c:v>25000</c:v>
                </c:pt>
                <c:pt idx="24">
                  <c:v>25000</c:v>
                </c:pt>
                <c:pt idx="25">
                  <c:v>25000</c:v>
                </c:pt>
                <c:pt idx="26">
                  <c:v>25000</c:v>
                </c:pt>
                <c:pt idx="27">
                  <c:v>25000</c:v>
                </c:pt>
                <c:pt idx="28">
                  <c:v>25000</c:v>
                </c:pt>
                <c:pt idx="29">
                  <c:v>25000</c:v>
                </c:pt>
                <c:pt idx="30">
                  <c:v>25000</c:v>
                </c:pt>
                <c:pt idx="31">
                  <c:v>25000</c:v>
                </c:pt>
                <c:pt idx="32">
                  <c:v>25000</c:v>
                </c:pt>
                <c:pt idx="33">
                  <c:v>25000</c:v>
                </c:pt>
                <c:pt idx="34">
                  <c:v>25000</c:v>
                </c:pt>
                <c:pt idx="35">
                  <c:v>25000</c:v>
                </c:pt>
                <c:pt idx="36">
                  <c:v>25000</c:v>
                </c:pt>
                <c:pt idx="37">
                  <c:v>25000</c:v>
                </c:pt>
                <c:pt idx="38">
                  <c:v>25000</c:v>
                </c:pt>
                <c:pt idx="39">
                  <c:v>25000</c:v>
                </c:pt>
                <c:pt idx="40">
                  <c:v>25000</c:v>
                </c:pt>
                <c:pt idx="41">
                  <c:v>25000</c:v>
                </c:pt>
                <c:pt idx="42">
                  <c:v>25000</c:v>
                </c:pt>
                <c:pt idx="43">
                  <c:v>25000</c:v>
                </c:pt>
                <c:pt idx="44">
                  <c:v>25000</c:v>
                </c:pt>
                <c:pt idx="45">
                  <c:v>25000</c:v>
                </c:pt>
                <c:pt idx="46">
                  <c:v>25000</c:v>
                </c:pt>
                <c:pt idx="47">
                  <c:v>25000</c:v>
                </c:pt>
                <c:pt idx="48">
                  <c:v>25000</c:v>
                </c:pt>
                <c:pt idx="49">
                  <c:v>25000</c:v>
                </c:pt>
                <c:pt idx="50">
                  <c:v>25000</c:v>
                </c:pt>
                <c:pt idx="51">
                  <c:v>25000</c:v>
                </c:pt>
                <c:pt idx="52">
                  <c:v>25000</c:v>
                </c:pt>
                <c:pt idx="53">
                  <c:v>25000</c:v>
                </c:pt>
                <c:pt idx="54">
                  <c:v>25000</c:v>
                </c:pt>
                <c:pt idx="55">
                  <c:v>25000</c:v>
                </c:pt>
                <c:pt idx="56">
                  <c:v>25000</c:v>
                </c:pt>
                <c:pt idx="57">
                  <c:v>25000</c:v>
                </c:pt>
                <c:pt idx="58">
                  <c:v>25000</c:v>
                </c:pt>
                <c:pt idx="59">
                  <c:v>25000</c:v>
                </c:pt>
                <c:pt idx="60">
                  <c:v>25000</c:v>
                </c:pt>
                <c:pt idx="61">
                  <c:v>25000</c:v>
                </c:pt>
                <c:pt idx="62">
                  <c:v>25000</c:v>
                </c:pt>
                <c:pt idx="63">
                  <c:v>25000</c:v>
                </c:pt>
                <c:pt idx="64">
                  <c:v>25000</c:v>
                </c:pt>
                <c:pt idx="65">
                  <c:v>25000</c:v>
                </c:pt>
                <c:pt idx="66">
                  <c:v>25000</c:v>
                </c:pt>
                <c:pt idx="67">
                  <c:v>25000</c:v>
                </c:pt>
                <c:pt idx="68">
                  <c:v>25000</c:v>
                </c:pt>
                <c:pt idx="69">
                  <c:v>25000</c:v>
                </c:pt>
                <c:pt idx="70">
                  <c:v>25000</c:v>
                </c:pt>
                <c:pt idx="71">
                  <c:v>25000</c:v>
                </c:pt>
                <c:pt idx="72">
                  <c:v>25000</c:v>
                </c:pt>
                <c:pt idx="73">
                  <c:v>25000</c:v>
                </c:pt>
                <c:pt idx="74">
                  <c:v>25000</c:v>
                </c:pt>
                <c:pt idx="75">
                  <c:v>25000</c:v>
                </c:pt>
                <c:pt idx="76">
                  <c:v>25000</c:v>
                </c:pt>
                <c:pt idx="77">
                  <c:v>25000</c:v>
                </c:pt>
                <c:pt idx="78">
                  <c:v>25000</c:v>
                </c:pt>
                <c:pt idx="79">
                  <c:v>25000</c:v>
                </c:pt>
                <c:pt idx="80">
                  <c:v>25000</c:v>
                </c:pt>
                <c:pt idx="81">
                  <c:v>25000</c:v>
                </c:pt>
                <c:pt idx="82">
                  <c:v>25000</c:v>
                </c:pt>
                <c:pt idx="83">
                  <c:v>25000</c:v>
                </c:pt>
                <c:pt idx="84">
                  <c:v>25000</c:v>
                </c:pt>
                <c:pt idx="85">
                  <c:v>25000</c:v>
                </c:pt>
                <c:pt idx="86">
                  <c:v>25000</c:v>
                </c:pt>
                <c:pt idx="87">
                  <c:v>25000</c:v>
                </c:pt>
                <c:pt idx="88">
                  <c:v>25000</c:v>
                </c:pt>
                <c:pt idx="89">
                  <c:v>25000</c:v>
                </c:pt>
                <c:pt idx="90">
                  <c:v>25000</c:v>
                </c:pt>
                <c:pt idx="91">
                  <c:v>25000</c:v>
                </c:pt>
                <c:pt idx="92">
                  <c:v>25000</c:v>
                </c:pt>
                <c:pt idx="93">
                  <c:v>25000</c:v>
                </c:pt>
                <c:pt idx="94">
                  <c:v>25000</c:v>
                </c:pt>
                <c:pt idx="95">
                  <c:v>25000</c:v>
                </c:pt>
                <c:pt idx="96">
                  <c:v>25000</c:v>
                </c:pt>
                <c:pt idx="97">
                  <c:v>25000</c:v>
                </c:pt>
                <c:pt idx="98">
                  <c:v>25000</c:v>
                </c:pt>
                <c:pt idx="99">
                  <c:v>25000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44672"/>
        <c:axId val="36846208"/>
      </c:lineChart>
      <c:catAx>
        <c:axId val="36844672"/>
        <c:scaling>
          <c:orientation val="minMax"/>
        </c:scaling>
        <c:delete val="0"/>
        <c:axPos val="b"/>
        <c:majorTickMark val="out"/>
        <c:minorTickMark val="none"/>
        <c:tickLblPos val="nextTo"/>
        <c:crossAx val="36846208"/>
        <c:crosses val="autoZero"/>
        <c:auto val="1"/>
        <c:lblAlgn val="ctr"/>
        <c:lblOffset val="100"/>
        <c:noMultiLvlLbl val="0"/>
      </c:catAx>
      <c:valAx>
        <c:axId val="36846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8446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[Employers Company.xlsx]ورقة9!PivotTable3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ورقة9!$B$3</c:f>
              <c:strCache>
                <c:ptCount val="1"/>
                <c:pt idx="0">
                  <c:v>الإجمالي</c:v>
                </c:pt>
              </c:strCache>
            </c:strRef>
          </c:tx>
          <c:invertIfNegative val="0"/>
          <c:cat>
            <c:strRef>
              <c:f>ورقة9!$A$4:$A$27</c:f>
              <c:strCache>
                <c:ptCount val="23"/>
                <c:pt idx="0">
                  <c:v>0.478092926518455</c:v>
                </c:pt>
                <c:pt idx="1">
                  <c:v>4.764</c:v>
                </c:pt>
                <c:pt idx="2">
                  <c:v>10</c:v>
                </c:pt>
                <c:pt idx="3">
                  <c:v>44</c:v>
                </c:pt>
                <c:pt idx="4">
                  <c:v>90.78</c:v>
                </c:pt>
                <c:pt idx="5">
                  <c:v>100</c:v>
                </c:pt>
                <c:pt idx="6">
                  <c:v>3200</c:v>
                </c:pt>
                <c:pt idx="7">
                  <c:v>30500</c:v>
                </c:pt>
                <c:pt idx="8">
                  <c:v>63230</c:v>
                </c:pt>
                <c:pt idx="9">
                  <c:v>95000</c:v>
                </c:pt>
                <c:pt idx="10">
                  <c:v>250000</c:v>
                </c:pt>
                <c:pt idx="11">
                  <c:v>1793780</c:v>
                </c:pt>
                <c:pt idx="12">
                  <c:v>2682000</c:v>
                </c:pt>
                <c:pt idx="13">
                  <c:v>2703000</c:v>
                </c:pt>
                <c:pt idx="14">
                  <c:v>Admin</c:v>
                </c:pt>
                <c:pt idx="15">
                  <c:v>Executive</c:v>
                </c:pt>
                <c:pt idx="16">
                  <c:v>Finance</c:v>
                </c:pt>
                <c:pt idx="17">
                  <c:v>HR</c:v>
                </c:pt>
                <c:pt idx="18">
                  <c:v>IT</c:v>
                </c:pt>
                <c:pt idx="19">
                  <c:v>Marketing</c:v>
                </c:pt>
                <c:pt idx="20">
                  <c:v>Operations</c:v>
                </c:pt>
                <c:pt idx="21">
                  <c:v>Sales</c:v>
                </c:pt>
                <c:pt idx="22">
                  <c:v>Support</c:v>
                </c:pt>
              </c:strCache>
            </c:strRef>
          </c:cat>
          <c:val>
            <c:numRef>
              <c:f>ورقة9!$B$4:$B$27</c:f>
              <c:numCache>
                <c:formatCode>General</c:formatCode>
                <c:ptCount val="23"/>
                <c:pt idx="14">
                  <c:v>0.58545661951499517</c:v>
                </c:pt>
                <c:pt idx="15">
                  <c:v>0.3620915032679739</c:v>
                </c:pt>
                <c:pt idx="16">
                  <c:v>0.37244645382822122</c:v>
                </c:pt>
                <c:pt idx="17">
                  <c:v>0.3926236190245786</c:v>
                </c:pt>
                <c:pt idx="18">
                  <c:v>0.3614108363874815</c:v>
                </c:pt>
                <c:pt idx="19">
                  <c:v>0.4138664211500257</c:v>
                </c:pt>
                <c:pt idx="20">
                  <c:v>0.45144337571000737</c:v>
                </c:pt>
                <c:pt idx="21">
                  <c:v>0.41358370064721145</c:v>
                </c:pt>
                <c:pt idx="22">
                  <c:v>0.71402216498444704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37509376"/>
        <c:axId val="37511168"/>
        <c:axId val="0"/>
      </c:bar3DChart>
      <c:catAx>
        <c:axId val="37509376"/>
        <c:scaling>
          <c:orientation val="minMax"/>
        </c:scaling>
        <c:delete val="0"/>
        <c:axPos val="b"/>
        <c:majorTickMark val="out"/>
        <c:minorTickMark val="none"/>
        <c:tickLblPos val="nextTo"/>
        <c:crossAx val="37511168"/>
        <c:crosses val="autoZero"/>
        <c:auto val="1"/>
        <c:lblAlgn val="ctr"/>
        <c:lblOffset val="100"/>
        <c:noMultiLvlLbl val="0"/>
      </c:catAx>
      <c:valAx>
        <c:axId val="37511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5093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[Employers Company.xlsx]ورقة10!PivotTable4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ورقة10!$B$3</c:f>
              <c:strCache>
                <c:ptCount val="1"/>
                <c:pt idx="0">
                  <c:v>الإجمالي</c:v>
                </c:pt>
              </c:strCache>
            </c:strRef>
          </c:tx>
          <c:invertIfNegative val="0"/>
          <c:cat>
            <c:strRef>
              <c:f>ورقة10!$A$4:$A$27</c:f>
              <c:strCache>
                <c:ptCount val="23"/>
                <c:pt idx="0">
                  <c:v>0.478092926518455</c:v>
                </c:pt>
                <c:pt idx="1">
                  <c:v>4.764</c:v>
                </c:pt>
                <c:pt idx="2">
                  <c:v>10</c:v>
                </c:pt>
                <c:pt idx="3">
                  <c:v>44</c:v>
                </c:pt>
                <c:pt idx="4">
                  <c:v>90.78</c:v>
                </c:pt>
                <c:pt idx="5">
                  <c:v>100</c:v>
                </c:pt>
                <c:pt idx="6">
                  <c:v>3200</c:v>
                </c:pt>
                <c:pt idx="7">
                  <c:v>30500</c:v>
                </c:pt>
                <c:pt idx="8">
                  <c:v>63230</c:v>
                </c:pt>
                <c:pt idx="9">
                  <c:v>95000</c:v>
                </c:pt>
                <c:pt idx="10">
                  <c:v>250000</c:v>
                </c:pt>
                <c:pt idx="11">
                  <c:v>1793780</c:v>
                </c:pt>
                <c:pt idx="12">
                  <c:v>2682000</c:v>
                </c:pt>
                <c:pt idx="13">
                  <c:v>2703000</c:v>
                </c:pt>
                <c:pt idx="14">
                  <c:v>Admin</c:v>
                </c:pt>
                <c:pt idx="15">
                  <c:v>Executive</c:v>
                </c:pt>
                <c:pt idx="16">
                  <c:v>Finance</c:v>
                </c:pt>
                <c:pt idx="17">
                  <c:v>HR</c:v>
                </c:pt>
                <c:pt idx="18">
                  <c:v>IT</c:v>
                </c:pt>
                <c:pt idx="19">
                  <c:v>Marketing</c:v>
                </c:pt>
                <c:pt idx="20">
                  <c:v>Operations</c:v>
                </c:pt>
                <c:pt idx="21">
                  <c:v>Sales</c:v>
                </c:pt>
                <c:pt idx="22">
                  <c:v>Support</c:v>
                </c:pt>
              </c:strCache>
            </c:strRef>
          </c:cat>
          <c:val>
            <c:numRef>
              <c:f>ورقة10!$B$4:$B$27</c:f>
              <c:numCache>
                <c:formatCode>General</c:formatCode>
                <c:ptCount val="23"/>
                <c:pt idx="14">
                  <c:v>250000</c:v>
                </c:pt>
                <c:pt idx="15">
                  <c:v>220000</c:v>
                </c:pt>
                <c:pt idx="16">
                  <c:v>280000</c:v>
                </c:pt>
                <c:pt idx="17">
                  <c:v>285000</c:v>
                </c:pt>
                <c:pt idx="18">
                  <c:v>395000</c:v>
                </c:pt>
                <c:pt idx="19">
                  <c:v>255000</c:v>
                </c:pt>
                <c:pt idx="20">
                  <c:v>230000</c:v>
                </c:pt>
                <c:pt idx="21">
                  <c:v>288000</c:v>
                </c:pt>
                <c:pt idx="22">
                  <c:v>500000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593472"/>
        <c:axId val="37595008"/>
      </c:barChart>
      <c:catAx>
        <c:axId val="37593472"/>
        <c:scaling>
          <c:orientation val="minMax"/>
        </c:scaling>
        <c:delete val="0"/>
        <c:axPos val="b"/>
        <c:majorTickMark val="out"/>
        <c:minorTickMark val="none"/>
        <c:tickLblPos val="nextTo"/>
        <c:crossAx val="37595008"/>
        <c:crosses val="autoZero"/>
        <c:auto val="1"/>
        <c:lblAlgn val="ctr"/>
        <c:lblOffset val="100"/>
        <c:noMultiLvlLbl val="0"/>
      </c:catAx>
      <c:valAx>
        <c:axId val="37595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5934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[Employers Company.xlsx]ورقة11!PivotTable5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ورقة11!$B$3</c:f>
              <c:strCache>
                <c:ptCount val="1"/>
                <c:pt idx="0">
                  <c:v>الإجمالي</c:v>
                </c:pt>
              </c:strCache>
            </c:strRef>
          </c:tx>
          <c:cat>
            <c:strRef>
              <c:f>ورقة11!$A$4:$A$27</c:f>
              <c:strCache>
                <c:ptCount val="23"/>
                <c:pt idx="0">
                  <c:v>0.478092926518455</c:v>
                </c:pt>
                <c:pt idx="1">
                  <c:v>4.764</c:v>
                </c:pt>
                <c:pt idx="2">
                  <c:v>10</c:v>
                </c:pt>
                <c:pt idx="3">
                  <c:v>44</c:v>
                </c:pt>
                <c:pt idx="4">
                  <c:v>90.78</c:v>
                </c:pt>
                <c:pt idx="5">
                  <c:v>100</c:v>
                </c:pt>
                <c:pt idx="6">
                  <c:v>3200</c:v>
                </c:pt>
                <c:pt idx="7">
                  <c:v>30500</c:v>
                </c:pt>
                <c:pt idx="8">
                  <c:v>63230</c:v>
                </c:pt>
                <c:pt idx="9">
                  <c:v>95000</c:v>
                </c:pt>
                <c:pt idx="10">
                  <c:v>250000</c:v>
                </c:pt>
                <c:pt idx="11">
                  <c:v>1793780</c:v>
                </c:pt>
                <c:pt idx="12">
                  <c:v>2682000</c:v>
                </c:pt>
                <c:pt idx="13">
                  <c:v>2703000</c:v>
                </c:pt>
                <c:pt idx="14">
                  <c:v>Admin</c:v>
                </c:pt>
                <c:pt idx="15">
                  <c:v>Executive</c:v>
                </c:pt>
                <c:pt idx="16">
                  <c:v>Finance</c:v>
                </c:pt>
                <c:pt idx="17">
                  <c:v>HR</c:v>
                </c:pt>
                <c:pt idx="18">
                  <c:v>IT</c:v>
                </c:pt>
                <c:pt idx="19">
                  <c:v>Marketing</c:v>
                </c:pt>
                <c:pt idx="20">
                  <c:v>Operations</c:v>
                </c:pt>
                <c:pt idx="21">
                  <c:v>Sales</c:v>
                </c:pt>
                <c:pt idx="22">
                  <c:v>Support</c:v>
                </c:pt>
              </c:strCache>
            </c:strRef>
          </c:cat>
          <c:val>
            <c:numRef>
              <c:f>ورقة11!$B$4:$B$27</c:f>
              <c:numCache>
                <c:formatCode>General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10</c:v>
                </c:pt>
                <c:pt idx="15">
                  <c:v>3</c:v>
                </c:pt>
                <c:pt idx="16">
                  <c:v>11</c:v>
                </c:pt>
                <c:pt idx="17">
                  <c:v>11</c:v>
                </c:pt>
                <c:pt idx="18">
                  <c:v>15</c:v>
                </c:pt>
                <c:pt idx="19">
                  <c:v>10</c:v>
                </c:pt>
                <c:pt idx="20">
                  <c:v>9</c:v>
                </c:pt>
                <c:pt idx="21">
                  <c:v>11</c:v>
                </c:pt>
                <c:pt idx="22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[Employers Company.xlsx]مجموع  salary!PivotTable6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'مجموع  salary'!$B$3</c:f>
              <c:strCache>
                <c:ptCount val="1"/>
                <c:pt idx="0">
                  <c:v>مجموع من Current Salary</c:v>
                </c:pt>
              </c:strCache>
            </c:strRef>
          </c:tx>
          <c:invertIfNegative val="0"/>
          <c:cat>
            <c:strRef>
              <c:f>'مجموع  salary'!$A$4:$A$27</c:f>
              <c:strCache>
                <c:ptCount val="23"/>
                <c:pt idx="0">
                  <c:v>0.478092926518455</c:v>
                </c:pt>
                <c:pt idx="1">
                  <c:v>4.764</c:v>
                </c:pt>
                <c:pt idx="2">
                  <c:v>10</c:v>
                </c:pt>
                <c:pt idx="3">
                  <c:v>44</c:v>
                </c:pt>
                <c:pt idx="4">
                  <c:v>90.78</c:v>
                </c:pt>
                <c:pt idx="5">
                  <c:v>100</c:v>
                </c:pt>
                <c:pt idx="6">
                  <c:v>3200</c:v>
                </c:pt>
                <c:pt idx="7">
                  <c:v>30500</c:v>
                </c:pt>
                <c:pt idx="8">
                  <c:v>63230</c:v>
                </c:pt>
                <c:pt idx="9">
                  <c:v>95000</c:v>
                </c:pt>
                <c:pt idx="10">
                  <c:v>250000</c:v>
                </c:pt>
                <c:pt idx="11">
                  <c:v>1793780</c:v>
                </c:pt>
                <c:pt idx="12">
                  <c:v>2682000</c:v>
                </c:pt>
                <c:pt idx="13">
                  <c:v>2703000</c:v>
                </c:pt>
                <c:pt idx="14">
                  <c:v>Admin</c:v>
                </c:pt>
                <c:pt idx="15">
                  <c:v>Executive</c:v>
                </c:pt>
                <c:pt idx="16">
                  <c:v>Finance</c:v>
                </c:pt>
                <c:pt idx="17">
                  <c:v>HR</c:v>
                </c:pt>
                <c:pt idx="18">
                  <c:v>IT</c:v>
                </c:pt>
                <c:pt idx="19">
                  <c:v>Marketing</c:v>
                </c:pt>
                <c:pt idx="20">
                  <c:v>Operations</c:v>
                </c:pt>
                <c:pt idx="21">
                  <c:v>Sales</c:v>
                </c:pt>
                <c:pt idx="22">
                  <c:v>Support</c:v>
                </c:pt>
              </c:strCache>
            </c:strRef>
          </c:cat>
          <c:val>
            <c:numRef>
              <c:f>'مجموع  salary'!$B$4:$B$27</c:f>
              <c:numCache>
                <c:formatCode>General</c:formatCode>
                <c:ptCount val="23"/>
                <c:pt idx="14">
                  <c:v>427500</c:v>
                </c:pt>
                <c:pt idx="15">
                  <c:v>600000</c:v>
                </c:pt>
                <c:pt idx="16">
                  <c:v>787500</c:v>
                </c:pt>
                <c:pt idx="17">
                  <c:v>757000</c:v>
                </c:pt>
                <c:pt idx="18">
                  <c:v>1137500</c:v>
                </c:pt>
                <c:pt idx="19">
                  <c:v>649000</c:v>
                </c:pt>
                <c:pt idx="20">
                  <c:v>535000</c:v>
                </c:pt>
                <c:pt idx="21">
                  <c:v>724500</c:v>
                </c:pt>
                <c:pt idx="22">
                  <c:v>705000</c:v>
                </c:pt>
              </c:numCache>
            </c:numRef>
          </c:val>
        </c:ser>
        <c:ser>
          <c:idx val="1"/>
          <c:order val="1"/>
          <c:tx>
            <c:strRef>
              <c:f>'مجموع  salary'!$C$3</c:f>
              <c:strCache>
                <c:ptCount val="1"/>
                <c:pt idx="0">
                  <c:v>مجموع من Proposed Salary</c:v>
                </c:pt>
              </c:strCache>
            </c:strRef>
          </c:tx>
          <c:invertIfNegative val="0"/>
          <c:cat>
            <c:strRef>
              <c:f>'مجموع  salary'!$A$4:$A$27</c:f>
              <c:strCache>
                <c:ptCount val="23"/>
                <c:pt idx="0">
                  <c:v>0.478092926518455</c:v>
                </c:pt>
                <c:pt idx="1">
                  <c:v>4.764</c:v>
                </c:pt>
                <c:pt idx="2">
                  <c:v>10</c:v>
                </c:pt>
                <c:pt idx="3">
                  <c:v>44</c:v>
                </c:pt>
                <c:pt idx="4">
                  <c:v>90.78</c:v>
                </c:pt>
                <c:pt idx="5">
                  <c:v>100</c:v>
                </c:pt>
                <c:pt idx="6">
                  <c:v>3200</c:v>
                </c:pt>
                <c:pt idx="7">
                  <c:v>30500</c:v>
                </c:pt>
                <c:pt idx="8">
                  <c:v>63230</c:v>
                </c:pt>
                <c:pt idx="9">
                  <c:v>95000</c:v>
                </c:pt>
                <c:pt idx="10">
                  <c:v>250000</c:v>
                </c:pt>
                <c:pt idx="11">
                  <c:v>1793780</c:v>
                </c:pt>
                <c:pt idx="12">
                  <c:v>2682000</c:v>
                </c:pt>
                <c:pt idx="13">
                  <c:v>2703000</c:v>
                </c:pt>
                <c:pt idx="14">
                  <c:v>Admin</c:v>
                </c:pt>
                <c:pt idx="15">
                  <c:v>Executive</c:v>
                </c:pt>
                <c:pt idx="16">
                  <c:v>Finance</c:v>
                </c:pt>
                <c:pt idx="17">
                  <c:v>HR</c:v>
                </c:pt>
                <c:pt idx="18">
                  <c:v>IT</c:v>
                </c:pt>
                <c:pt idx="19">
                  <c:v>Marketing</c:v>
                </c:pt>
                <c:pt idx="20">
                  <c:v>Operations</c:v>
                </c:pt>
                <c:pt idx="21">
                  <c:v>Sales</c:v>
                </c:pt>
                <c:pt idx="22">
                  <c:v>Support</c:v>
                </c:pt>
              </c:strCache>
            </c:strRef>
          </c:cat>
          <c:val>
            <c:numRef>
              <c:f>'مجموع  salary'!$C$4:$C$27</c:f>
              <c:numCache>
                <c:formatCode>General</c:formatCode>
                <c:ptCount val="23"/>
                <c:pt idx="14">
                  <c:v>177500</c:v>
                </c:pt>
                <c:pt idx="15">
                  <c:v>380000</c:v>
                </c:pt>
                <c:pt idx="16">
                  <c:v>507500</c:v>
                </c:pt>
                <c:pt idx="17">
                  <c:v>472000</c:v>
                </c:pt>
                <c:pt idx="18">
                  <c:v>742500</c:v>
                </c:pt>
                <c:pt idx="19">
                  <c:v>394000</c:v>
                </c:pt>
                <c:pt idx="20">
                  <c:v>305000</c:v>
                </c:pt>
                <c:pt idx="21">
                  <c:v>436500</c:v>
                </c:pt>
                <c:pt idx="22">
                  <c:v>205000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348864"/>
        <c:axId val="37350400"/>
        <c:axId val="0"/>
      </c:bar3DChart>
      <c:catAx>
        <c:axId val="37348864"/>
        <c:scaling>
          <c:orientation val="minMax"/>
        </c:scaling>
        <c:delete val="0"/>
        <c:axPos val="b"/>
        <c:majorTickMark val="out"/>
        <c:minorTickMark val="none"/>
        <c:tickLblPos val="nextTo"/>
        <c:crossAx val="37350400"/>
        <c:crosses val="autoZero"/>
        <c:auto val="1"/>
        <c:lblAlgn val="ctr"/>
        <c:lblOffset val="100"/>
        <c:noMultiLvlLbl val="0"/>
      </c:catAx>
      <c:valAx>
        <c:axId val="37350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3488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[Employers Company.xlsx]idعدد1!PivotTable7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idعدد1!$B$3</c:f>
              <c:strCache>
                <c:ptCount val="1"/>
                <c:pt idx="0">
                  <c:v>الإجمالي</c:v>
                </c:pt>
              </c:strCache>
            </c:strRef>
          </c:tx>
          <c:invertIfNegative val="0"/>
          <c:cat>
            <c:strRef>
              <c:f>idعدد1!$A$4:$A$8</c:f>
              <c:strCache>
                <c:ptCount val="4"/>
                <c:pt idx="0">
                  <c:v>Keep</c:v>
                </c:pt>
                <c:pt idx="1">
                  <c:v>Reduce</c:v>
                </c:pt>
                <c:pt idx="2">
                  <c:v>Review</c:v>
                </c:pt>
                <c:pt idx="3">
                  <c:v>(فارغ)</c:v>
                </c:pt>
              </c:strCache>
            </c:strRef>
          </c:cat>
          <c:val>
            <c:numRef>
              <c:f>idعدد1!$B$4:$B$8</c:f>
              <c:numCache>
                <c:formatCode>General</c:formatCode>
                <c:ptCount val="4"/>
                <c:pt idx="0">
                  <c:v>29</c:v>
                </c:pt>
                <c:pt idx="1">
                  <c:v>33</c:v>
                </c:pt>
                <c:pt idx="2">
                  <c:v>38</c:v>
                </c:pt>
                <c:pt idx="3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439744"/>
        <c:axId val="37441536"/>
      </c:barChart>
      <c:catAx>
        <c:axId val="37439744"/>
        <c:scaling>
          <c:orientation val="minMax"/>
        </c:scaling>
        <c:delete val="0"/>
        <c:axPos val="b"/>
        <c:majorTickMark val="out"/>
        <c:minorTickMark val="none"/>
        <c:tickLblPos val="nextTo"/>
        <c:crossAx val="37441536"/>
        <c:crosses val="autoZero"/>
        <c:auto val="1"/>
        <c:lblAlgn val="ctr"/>
        <c:lblOffset val="100"/>
        <c:noMultiLvlLbl val="0"/>
      </c:catAx>
      <c:valAx>
        <c:axId val="37441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439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[Employers Company.xlsx]performance score!PivotTable8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'performance score'!$B$3</c:f>
              <c:strCache>
                <c:ptCount val="1"/>
                <c:pt idx="0">
                  <c:v>الإجمالي</c:v>
                </c:pt>
              </c:strCache>
            </c:strRef>
          </c:tx>
          <c:invertIfNegative val="0"/>
          <c:cat>
            <c:strRef>
              <c:f>'performance score'!$A$4:$A$27</c:f>
              <c:strCache>
                <c:ptCount val="23"/>
                <c:pt idx="0">
                  <c:v>0.478092926518455</c:v>
                </c:pt>
                <c:pt idx="1">
                  <c:v>4.764</c:v>
                </c:pt>
                <c:pt idx="2">
                  <c:v>10</c:v>
                </c:pt>
                <c:pt idx="3">
                  <c:v>44</c:v>
                </c:pt>
                <c:pt idx="4">
                  <c:v>90.78</c:v>
                </c:pt>
                <c:pt idx="5">
                  <c:v>100</c:v>
                </c:pt>
                <c:pt idx="6">
                  <c:v>3200</c:v>
                </c:pt>
                <c:pt idx="7">
                  <c:v>30500</c:v>
                </c:pt>
                <c:pt idx="8">
                  <c:v>63230</c:v>
                </c:pt>
                <c:pt idx="9">
                  <c:v>95000</c:v>
                </c:pt>
                <c:pt idx="10">
                  <c:v>250000</c:v>
                </c:pt>
                <c:pt idx="11">
                  <c:v>1793780</c:v>
                </c:pt>
                <c:pt idx="12">
                  <c:v>2682000</c:v>
                </c:pt>
                <c:pt idx="13">
                  <c:v>2703000</c:v>
                </c:pt>
                <c:pt idx="14">
                  <c:v>Admin</c:v>
                </c:pt>
                <c:pt idx="15">
                  <c:v>Executive</c:v>
                </c:pt>
                <c:pt idx="16">
                  <c:v>Finance</c:v>
                </c:pt>
                <c:pt idx="17">
                  <c:v>HR</c:v>
                </c:pt>
                <c:pt idx="18">
                  <c:v>IT</c:v>
                </c:pt>
                <c:pt idx="19">
                  <c:v>Marketing</c:v>
                </c:pt>
                <c:pt idx="20">
                  <c:v>Operations</c:v>
                </c:pt>
                <c:pt idx="21">
                  <c:v>Sales</c:v>
                </c:pt>
                <c:pt idx="22">
                  <c:v>Support</c:v>
                </c:pt>
              </c:strCache>
            </c:strRef>
          </c:cat>
          <c:val>
            <c:numRef>
              <c:f>'performance score'!$B$4:$B$27</c:f>
              <c:numCache>
                <c:formatCode>General</c:formatCode>
                <c:ptCount val="23"/>
                <c:pt idx="14">
                  <c:v>10</c:v>
                </c:pt>
                <c:pt idx="15">
                  <c:v>3</c:v>
                </c:pt>
                <c:pt idx="16">
                  <c:v>11</c:v>
                </c:pt>
                <c:pt idx="17">
                  <c:v>11</c:v>
                </c:pt>
                <c:pt idx="18">
                  <c:v>15</c:v>
                </c:pt>
                <c:pt idx="19">
                  <c:v>10</c:v>
                </c:pt>
                <c:pt idx="20">
                  <c:v>9</c:v>
                </c:pt>
                <c:pt idx="21">
                  <c:v>11</c:v>
                </c:pt>
                <c:pt idx="22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36795904"/>
        <c:axId val="36797440"/>
        <c:axId val="0"/>
      </c:bar3DChart>
      <c:catAx>
        <c:axId val="36795904"/>
        <c:scaling>
          <c:orientation val="minMax"/>
        </c:scaling>
        <c:delete val="0"/>
        <c:axPos val="b"/>
        <c:majorTickMark val="out"/>
        <c:minorTickMark val="none"/>
        <c:tickLblPos val="nextTo"/>
        <c:crossAx val="36797440"/>
        <c:crosses val="autoZero"/>
        <c:auto val="1"/>
        <c:lblAlgn val="ctr"/>
        <c:lblOffset val="100"/>
        <c:noMultiLvlLbl val="0"/>
      </c:catAx>
      <c:valAx>
        <c:axId val="36797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7959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[Employers Company.xlsx]IDعدد!PivotTable9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IDعدد!$B$3</c:f>
              <c:strCache>
                <c:ptCount val="1"/>
                <c:pt idx="0">
                  <c:v>الإجمالي</c:v>
                </c:pt>
              </c:strCache>
            </c:strRef>
          </c:tx>
          <c:invertIfNegative val="0"/>
          <c:cat>
            <c:strRef>
              <c:f>IDعدد!$A$4:$A$8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(فارغ)</c:v>
                </c:pt>
              </c:strCache>
            </c:strRef>
          </c:cat>
          <c:val>
            <c:numRef>
              <c:f>IDعدد!$B$4:$B$8</c:f>
              <c:numCache>
                <c:formatCode>General</c:formatCode>
                <c:ptCount val="4"/>
                <c:pt idx="0">
                  <c:v>30</c:v>
                </c:pt>
                <c:pt idx="1">
                  <c:v>56</c:v>
                </c:pt>
                <c:pt idx="2">
                  <c:v>14</c:v>
                </c:pt>
                <c:pt idx="3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822016"/>
        <c:axId val="38044416"/>
      </c:barChart>
      <c:catAx>
        <c:axId val="36822016"/>
        <c:scaling>
          <c:orientation val="minMax"/>
        </c:scaling>
        <c:delete val="0"/>
        <c:axPos val="b"/>
        <c:majorTickMark val="out"/>
        <c:minorTickMark val="none"/>
        <c:tickLblPos val="nextTo"/>
        <c:crossAx val="38044416"/>
        <c:crosses val="autoZero"/>
        <c:auto val="1"/>
        <c:lblAlgn val="ctr"/>
        <c:lblOffset val="100"/>
        <c:noMultiLvlLbl val="0"/>
      </c:catAx>
      <c:valAx>
        <c:axId val="38044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8220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[Employers Company.xlsx]current and proposed salary!PivotTable10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'current and proposed salary'!$B$3</c:f>
              <c:strCache>
                <c:ptCount val="1"/>
                <c:pt idx="0">
                  <c:v>مجموع من Current Salary</c:v>
                </c:pt>
              </c:strCache>
            </c:strRef>
          </c:tx>
          <c:invertIfNegative val="0"/>
          <c:cat>
            <c:strRef>
              <c:f>'current and proposed salary'!$A$4:$A$27</c:f>
              <c:strCache>
                <c:ptCount val="23"/>
                <c:pt idx="0">
                  <c:v>0.478092926518455</c:v>
                </c:pt>
                <c:pt idx="1">
                  <c:v>4.764</c:v>
                </c:pt>
                <c:pt idx="2">
                  <c:v>10</c:v>
                </c:pt>
                <c:pt idx="3">
                  <c:v>44</c:v>
                </c:pt>
                <c:pt idx="4">
                  <c:v>90.78</c:v>
                </c:pt>
                <c:pt idx="5">
                  <c:v>100</c:v>
                </c:pt>
                <c:pt idx="6">
                  <c:v>3200</c:v>
                </c:pt>
                <c:pt idx="7">
                  <c:v>30500</c:v>
                </c:pt>
                <c:pt idx="8">
                  <c:v>63230</c:v>
                </c:pt>
                <c:pt idx="9">
                  <c:v>95000</c:v>
                </c:pt>
                <c:pt idx="10">
                  <c:v>250000</c:v>
                </c:pt>
                <c:pt idx="11">
                  <c:v>1793780</c:v>
                </c:pt>
                <c:pt idx="12">
                  <c:v>2682000</c:v>
                </c:pt>
                <c:pt idx="13">
                  <c:v>2703000</c:v>
                </c:pt>
                <c:pt idx="14">
                  <c:v>Admin</c:v>
                </c:pt>
                <c:pt idx="15">
                  <c:v>Executive</c:v>
                </c:pt>
                <c:pt idx="16">
                  <c:v>Finance</c:v>
                </c:pt>
                <c:pt idx="17">
                  <c:v>HR</c:v>
                </c:pt>
                <c:pt idx="18">
                  <c:v>IT</c:v>
                </c:pt>
                <c:pt idx="19">
                  <c:v>Marketing</c:v>
                </c:pt>
                <c:pt idx="20">
                  <c:v>Operations</c:v>
                </c:pt>
                <c:pt idx="21">
                  <c:v>Sales</c:v>
                </c:pt>
                <c:pt idx="22">
                  <c:v>Support</c:v>
                </c:pt>
              </c:strCache>
            </c:strRef>
          </c:cat>
          <c:val>
            <c:numRef>
              <c:f>'current and proposed salary'!$B$4:$B$27</c:f>
              <c:numCache>
                <c:formatCode>General</c:formatCode>
                <c:ptCount val="23"/>
                <c:pt idx="14">
                  <c:v>427500</c:v>
                </c:pt>
                <c:pt idx="15">
                  <c:v>600000</c:v>
                </c:pt>
                <c:pt idx="16">
                  <c:v>787500</c:v>
                </c:pt>
                <c:pt idx="17">
                  <c:v>757000</c:v>
                </c:pt>
                <c:pt idx="18">
                  <c:v>1137500</c:v>
                </c:pt>
                <c:pt idx="19">
                  <c:v>649000</c:v>
                </c:pt>
                <c:pt idx="20">
                  <c:v>535000</c:v>
                </c:pt>
                <c:pt idx="21">
                  <c:v>724500</c:v>
                </c:pt>
                <c:pt idx="22">
                  <c:v>705000</c:v>
                </c:pt>
              </c:numCache>
            </c:numRef>
          </c:val>
        </c:ser>
        <c:ser>
          <c:idx val="1"/>
          <c:order val="1"/>
          <c:tx>
            <c:strRef>
              <c:f>'current and proposed salary'!$C$3</c:f>
              <c:strCache>
                <c:ptCount val="1"/>
                <c:pt idx="0">
                  <c:v>مجموع من Proposed Salary</c:v>
                </c:pt>
              </c:strCache>
            </c:strRef>
          </c:tx>
          <c:invertIfNegative val="0"/>
          <c:cat>
            <c:strRef>
              <c:f>'current and proposed salary'!$A$4:$A$27</c:f>
              <c:strCache>
                <c:ptCount val="23"/>
                <c:pt idx="0">
                  <c:v>0.478092926518455</c:v>
                </c:pt>
                <c:pt idx="1">
                  <c:v>4.764</c:v>
                </c:pt>
                <c:pt idx="2">
                  <c:v>10</c:v>
                </c:pt>
                <c:pt idx="3">
                  <c:v>44</c:v>
                </c:pt>
                <c:pt idx="4">
                  <c:v>90.78</c:v>
                </c:pt>
                <c:pt idx="5">
                  <c:v>100</c:v>
                </c:pt>
                <c:pt idx="6">
                  <c:v>3200</c:v>
                </c:pt>
                <c:pt idx="7">
                  <c:v>30500</c:v>
                </c:pt>
                <c:pt idx="8">
                  <c:v>63230</c:v>
                </c:pt>
                <c:pt idx="9">
                  <c:v>95000</c:v>
                </c:pt>
                <c:pt idx="10">
                  <c:v>250000</c:v>
                </c:pt>
                <c:pt idx="11">
                  <c:v>1793780</c:v>
                </c:pt>
                <c:pt idx="12">
                  <c:v>2682000</c:v>
                </c:pt>
                <c:pt idx="13">
                  <c:v>2703000</c:v>
                </c:pt>
                <c:pt idx="14">
                  <c:v>Admin</c:v>
                </c:pt>
                <c:pt idx="15">
                  <c:v>Executive</c:v>
                </c:pt>
                <c:pt idx="16">
                  <c:v>Finance</c:v>
                </c:pt>
                <c:pt idx="17">
                  <c:v>HR</c:v>
                </c:pt>
                <c:pt idx="18">
                  <c:v>IT</c:v>
                </c:pt>
                <c:pt idx="19">
                  <c:v>Marketing</c:v>
                </c:pt>
                <c:pt idx="20">
                  <c:v>Operations</c:v>
                </c:pt>
                <c:pt idx="21">
                  <c:v>Sales</c:v>
                </c:pt>
                <c:pt idx="22">
                  <c:v>Support</c:v>
                </c:pt>
              </c:strCache>
            </c:strRef>
          </c:cat>
          <c:val>
            <c:numRef>
              <c:f>'current and proposed salary'!$C$4:$C$27</c:f>
              <c:numCache>
                <c:formatCode>General</c:formatCode>
                <c:ptCount val="23"/>
                <c:pt idx="14">
                  <c:v>177500</c:v>
                </c:pt>
                <c:pt idx="15">
                  <c:v>380000</c:v>
                </c:pt>
                <c:pt idx="16">
                  <c:v>507500</c:v>
                </c:pt>
                <c:pt idx="17">
                  <c:v>472000</c:v>
                </c:pt>
                <c:pt idx="18">
                  <c:v>742500</c:v>
                </c:pt>
                <c:pt idx="19">
                  <c:v>394000</c:v>
                </c:pt>
                <c:pt idx="20">
                  <c:v>305000</c:v>
                </c:pt>
                <c:pt idx="21">
                  <c:v>436500</c:v>
                </c:pt>
                <c:pt idx="22">
                  <c:v>205000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805056"/>
        <c:axId val="37810944"/>
      </c:barChart>
      <c:catAx>
        <c:axId val="37805056"/>
        <c:scaling>
          <c:orientation val="minMax"/>
        </c:scaling>
        <c:delete val="0"/>
        <c:axPos val="b"/>
        <c:majorTickMark val="out"/>
        <c:minorTickMark val="none"/>
        <c:tickLblPos val="nextTo"/>
        <c:crossAx val="37810944"/>
        <c:crosses val="autoZero"/>
        <c:auto val="1"/>
        <c:lblAlgn val="ctr"/>
        <c:lblOffset val="100"/>
        <c:noMultiLvlLbl val="0"/>
      </c:catAx>
      <c:valAx>
        <c:axId val="37810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8050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[Employers Company.xlsx]ID!PivotTable12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ID!$B$3</c:f>
              <c:strCache>
                <c:ptCount val="1"/>
                <c:pt idx="0">
                  <c:v>الإجمالي</c:v>
                </c:pt>
              </c:strCache>
            </c:strRef>
          </c:tx>
          <c:cat>
            <c:strRef>
              <c:f>ID!$A$4:$A$27</c:f>
              <c:strCache>
                <c:ptCount val="23"/>
                <c:pt idx="0">
                  <c:v>0.478092926518455</c:v>
                </c:pt>
                <c:pt idx="1">
                  <c:v>4.764</c:v>
                </c:pt>
                <c:pt idx="2">
                  <c:v>10</c:v>
                </c:pt>
                <c:pt idx="3">
                  <c:v>44</c:v>
                </c:pt>
                <c:pt idx="4">
                  <c:v>90.78</c:v>
                </c:pt>
                <c:pt idx="5">
                  <c:v>100</c:v>
                </c:pt>
                <c:pt idx="6">
                  <c:v>3200</c:v>
                </c:pt>
                <c:pt idx="7">
                  <c:v>30500</c:v>
                </c:pt>
                <c:pt idx="8">
                  <c:v>63230</c:v>
                </c:pt>
                <c:pt idx="9">
                  <c:v>95000</c:v>
                </c:pt>
                <c:pt idx="10">
                  <c:v>250000</c:v>
                </c:pt>
                <c:pt idx="11">
                  <c:v>1793780</c:v>
                </c:pt>
                <c:pt idx="12">
                  <c:v>2682000</c:v>
                </c:pt>
                <c:pt idx="13">
                  <c:v>2703000</c:v>
                </c:pt>
                <c:pt idx="14">
                  <c:v>Admin</c:v>
                </c:pt>
                <c:pt idx="15">
                  <c:v>Executive</c:v>
                </c:pt>
                <c:pt idx="16">
                  <c:v>Finance</c:v>
                </c:pt>
                <c:pt idx="17">
                  <c:v>HR</c:v>
                </c:pt>
                <c:pt idx="18">
                  <c:v>IT</c:v>
                </c:pt>
                <c:pt idx="19">
                  <c:v>Marketing</c:v>
                </c:pt>
                <c:pt idx="20">
                  <c:v>Operations</c:v>
                </c:pt>
                <c:pt idx="21">
                  <c:v>Sales</c:v>
                </c:pt>
                <c:pt idx="22">
                  <c:v>Support</c:v>
                </c:pt>
              </c:strCache>
            </c:strRef>
          </c:cat>
          <c:val>
            <c:numRef>
              <c:f>ID!$B$4:$B$27</c:f>
              <c:numCache>
                <c:formatCode>General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10</c:v>
                </c:pt>
                <c:pt idx="15">
                  <c:v>3</c:v>
                </c:pt>
                <c:pt idx="16">
                  <c:v>11</c:v>
                </c:pt>
                <c:pt idx="17">
                  <c:v>11</c:v>
                </c:pt>
                <c:pt idx="18">
                  <c:v>15</c:v>
                </c:pt>
                <c:pt idx="19">
                  <c:v>10</c:v>
                </c:pt>
                <c:pt idx="20">
                  <c:v>9</c:v>
                </c:pt>
                <c:pt idx="21">
                  <c:v>11</c:v>
                </c:pt>
                <c:pt idx="22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[Employers Company.xlsx]Savings!PivotTable13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Savings!$B$3</c:f>
              <c:strCache>
                <c:ptCount val="1"/>
                <c:pt idx="0">
                  <c:v>الإجمالي</c:v>
                </c:pt>
              </c:strCache>
            </c:strRef>
          </c:tx>
          <c:invertIfNegative val="0"/>
          <c:cat>
            <c:strRef>
              <c:f>Savings!$A$4:$A$27</c:f>
              <c:strCache>
                <c:ptCount val="23"/>
                <c:pt idx="0">
                  <c:v>0.478092926518455</c:v>
                </c:pt>
                <c:pt idx="1">
                  <c:v>4.764</c:v>
                </c:pt>
                <c:pt idx="2">
                  <c:v>10</c:v>
                </c:pt>
                <c:pt idx="3">
                  <c:v>44</c:v>
                </c:pt>
                <c:pt idx="4">
                  <c:v>90.78</c:v>
                </c:pt>
                <c:pt idx="5">
                  <c:v>100</c:v>
                </c:pt>
                <c:pt idx="6">
                  <c:v>3200</c:v>
                </c:pt>
                <c:pt idx="7">
                  <c:v>30500</c:v>
                </c:pt>
                <c:pt idx="8">
                  <c:v>63230</c:v>
                </c:pt>
                <c:pt idx="9">
                  <c:v>95000</c:v>
                </c:pt>
                <c:pt idx="10">
                  <c:v>250000</c:v>
                </c:pt>
                <c:pt idx="11">
                  <c:v>1793780</c:v>
                </c:pt>
                <c:pt idx="12">
                  <c:v>2682000</c:v>
                </c:pt>
                <c:pt idx="13">
                  <c:v>2703000</c:v>
                </c:pt>
                <c:pt idx="14">
                  <c:v>Admin</c:v>
                </c:pt>
                <c:pt idx="15">
                  <c:v>Executive</c:v>
                </c:pt>
                <c:pt idx="16">
                  <c:v>Finance</c:v>
                </c:pt>
                <c:pt idx="17">
                  <c:v>HR</c:v>
                </c:pt>
                <c:pt idx="18">
                  <c:v>IT</c:v>
                </c:pt>
                <c:pt idx="19">
                  <c:v>Marketing</c:v>
                </c:pt>
                <c:pt idx="20">
                  <c:v>Operations</c:v>
                </c:pt>
                <c:pt idx="21">
                  <c:v>Sales</c:v>
                </c:pt>
                <c:pt idx="22">
                  <c:v>Support</c:v>
                </c:pt>
              </c:strCache>
            </c:strRef>
          </c:cat>
          <c:val>
            <c:numRef>
              <c:f>Savings!$B$4:$B$27</c:f>
              <c:numCache>
                <c:formatCode>General</c:formatCode>
                <c:ptCount val="23"/>
                <c:pt idx="14">
                  <c:v>250000</c:v>
                </c:pt>
                <c:pt idx="15">
                  <c:v>220000</c:v>
                </c:pt>
                <c:pt idx="16">
                  <c:v>280000</c:v>
                </c:pt>
                <c:pt idx="17">
                  <c:v>285000</c:v>
                </c:pt>
                <c:pt idx="18">
                  <c:v>395000</c:v>
                </c:pt>
                <c:pt idx="19">
                  <c:v>255000</c:v>
                </c:pt>
                <c:pt idx="20">
                  <c:v>230000</c:v>
                </c:pt>
                <c:pt idx="21">
                  <c:v>288000</c:v>
                </c:pt>
                <c:pt idx="22">
                  <c:v>500000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949824"/>
        <c:axId val="37951360"/>
        <c:axId val="0"/>
      </c:bar3DChart>
      <c:catAx>
        <c:axId val="37949824"/>
        <c:scaling>
          <c:orientation val="minMax"/>
        </c:scaling>
        <c:delete val="0"/>
        <c:axPos val="b"/>
        <c:majorTickMark val="out"/>
        <c:minorTickMark val="none"/>
        <c:tickLblPos val="nextTo"/>
        <c:crossAx val="37951360"/>
        <c:crosses val="autoZero"/>
        <c:auto val="1"/>
        <c:lblAlgn val="ctr"/>
        <c:lblOffset val="100"/>
        <c:noMultiLvlLbl val="0"/>
      </c:catAx>
      <c:valAx>
        <c:axId val="37951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9498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[Employers Company.xlsx]Reduction!PivotTable14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Reduction!$B$3</c:f>
              <c:strCache>
                <c:ptCount val="1"/>
                <c:pt idx="0">
                  <c:v>الإجمالي</c:v>
                </c:pt>
              </c:strCache>
            </c:strRef>
          </c:tx>
          <c:invertIfNegative val="0"/>
          <c:cat>
            <c:strRef>
              <c:f>Reduction!$A$4:$A$27</c:f>
              <c:strCache>
                <c:ptCount val="23"/>
                <c:pt idx="0">
                  <c:v>0.478092926518455</c:v>
                </c:pt>
                <c:pt idx="1">
                  <c:v>4.764</c:v>
                </c:pt>
                <c:pt idx="2">
                  <c:v>10</c:v>
                </c:pt>
                <c:pt idx="3">
                  <c:v>44</c:v>
                </c:pt>
                <c:pt idx="4">
                  <c:v>90.78</c:v>
                </c:pt>
                <c:pt idx="5">
                  <c:v>100</c:v>
                </c:pt>
                <c:pt idx="6">
                  <c:v>3200</c:v>
                </c:pt>
                <c:pt idx="7">
                  <c:v>30500</c:v>
                </c:pt>
                <c:pt idx="8">
                  <c:v>63230</c:v>
                </c:pt>
                <c:pt idx="9">
                  <c:v>95000</c:v>
                </c:pt>
                <c:pt idx="10">
                  <c:v>250000</c:v>
                </c:pt>
                <c:pt idx="11">
                  <c:v>1793780</c:v>
                </c:pt>
                <c:pt idx="12">
                  <c:v>2682000</c:v>
                </c:pt>
                <c:pt idx="13">
                  <c:v>2703000</c:v>
                </c:pt>
                <c:pt idx="14">
                  <c:v>Admin</c:v>
                </c:pt>
                <c:pt idx="15">
                  <c:v>Executive</c:v>
                </c:pt>
                <c:pt idx="16">
                  <c:v>Finance</c:v>
                </c:pt>
                <c:pt idx="17">
                  <c:v>HR</c:v>
                </c:pt>
                <c:pt idx="18">
                  <c:v>IT</c:v>
                </c:pt>
                <c:pt idx="19">
                  <c:v>Marketing</c:v>
                </c:pt>
                <c:pt idx="20">
                  <c:v>Operations</c:v>
                </c:pt>
                <c:pt idx="21">
                  <c:v>Sales</c:v>
                </c:pt>
                <c:pt idx="22">
                  <c:v>Support</c:v>
                </c:pt>
              </c:strCache>
            </c:strRef>
          </c:cat>
          <c:val>
            <c:numRef>
              <c:f>Reduction!$B$4:$B$27</c:f>
              <c:numCache>
                <c:formatCode>General</c:formatCode>
                <c:ptCount val="23"/>
                <c:pt idx="14">
                  <c:v>0.58545661951499517</c:v>
                </c:pt>
                <c:pt idx="15">
                  <c:v>0.3620915032679739</c:v>
                </c:pt>
                <c:pt idx="16">
                  <c:v>0.37244645382822122</c:v>
                </c:pt>
                <c:pt idx="17">
                  <c:v>0.3926236190245786</c:v>
                </c:pt>
                <c:pt idx="18">
                  <c:v>0.3614108363874815</c:v>
                </c:pt>
                <c:pt idx="19">
                  <c:v>0.4138664211500257</c:v>
                </c:pt>
                <c:pt idx="20">
                  <c:v>0.45144337571000737</c:v>
                </c:pt>
                <c:pt idx="21">
                  <c:v>0.41358370064721145</c:v>
                </c:pt>
                <c:pt idx="22">
                  <c:v>0.71402216498444704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554624"/>
        <c:axId val="38560512"/>
        <c:axId val="0"/>
      </c:bar3DChart>
      <c:catAx>
        <c:axId val="38554624"/>
        <c:scaling>
          <c:orientation val="minMax"/>
        </c:scaling>
        <c:delete val="0"/>
        <c:axPos val="b"/>
        <c:majorTickMark val="out"/>
        <c:minorTickMark val="none"/>
        <c:tickLblPos val="nextTo"/>
        <c:crossAx val="38560512"/>
        <c:crosses val="autoZero"/>
        <c:auto val="1"/>
        <c:lblAlgn val="ctr"/>
        <c:lblOffset val="100"/>
        <c:noMultiLvlLbl val="0"/>
      </c:catAx>
      <c:valAx>
        <c:axId val="38560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5546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[Employers Company.xlsx]ورقة25!PivotTable15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ورقة25!$B$3</c:f>
              <c:strCache>
                <c:ptCount val="1"/>
                <c:pt idx="0">
                  <c:v>الإجمالي</c:v>
                </c:pt>
              </c:strCache>
            </c:strRef>
          </c:tx>
          <c:marker>
            <c:symbol val="none"/>
          </c:marker>
          <c:cat>
            <c:strRef>
              <c:f>ورقة25!$A$4:$A$119</c:f>
              <c:strCache>
                <c:ptCount val="1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Average Attendance</c:v>
                </c:pt>
                <c:pt idx="101">
                  <c:v>Average Rating</c:v>
                </c:pt>
                <c:pt idx="102">
                  <c:v>Average Reduction %</c:v>
                </c:pt>
                <c:pt idx="103">
                  <c:v>Average Salary</c:v>
                </c:pt>
                <c:pt idx="104">
                  <c:v>Maximum Attendance</c:v>
                </c:pt>
                <c:pt idx="105">
                  <c:v>Maximum Rating</c:v>
                </c:pt>
                <c:pt idx="106">
                  <c:v>Maximum Revenue</c:v>
                </c:pt>
                <c:pt idx="107">
                  <c:v>Maximum Salary</c:v>
                </c:pt>
                <c:pt idx="108">
                  <c:v>Minimum Attendance</c:v>
                </c:pt>
                <c:pt idx="109">
                  <c:v>Minimum Revenue</c:v>
                </c:pt>
                <c:pt idx="110">
                  <c:v>Minimum Salary</c:v>
                </c:pt>
                <c:pt idx="111">
                  <c:v>Total Cost</c:v>
                </c:pt>
                <c:pt idx="112">
                  <c:v>Total Employees</c:v>
                </c:pt>
                <c:pt idx="113">
                  <c:v>Total Revenue</c:v>
                </c:pt>
                <c:pt idx="114">
                  <c:v>Total Savings</c:v>
                </c:pt>
              </c:strCache>
            </c:strRef>
          </c:cat>
          <c:val>
            <c:numRef>
              <c:f>ورقة25!$B$4:$B$119</c:f>
              <c:numCache>
                <c:formatCode>General</c:formatCode>
                <c:ptCount val="115"/>
                <c:pt idx="0">
                  <c:v>100000</c:v>
                </c:pt>
                <c:pt idx="1">
                  <c:v>60000</c:v>
                </c:pt>
                <c:pt idx="2">
                  <c:v>60000</c:v>
                </c:pt>
                <c:pt idx="3">
                  <c:v>35000</c:v>
                </c:pt>
                <c:pt idx="4">
                  <c:v>35000</c:v>
                </c:pt>
                <c:pt idx="5">
                  <c:v>30000</c:v>
                </c:pt>
                <c:pt idx="6">
                  <c:v>35000</c:v>
                </c:pt>
                <c:pt idx="7">
                  <c:v>30000</c:v>
                </c:pt>
                <c:pt idx="8">
                  <c:v>38000</c:v>
                </c:pt>
                <c:pt idx="9">
                  <c:v>30000</c:v>
                </c:pt>
                <c:pt idx="10">
                  <c:v>25000</c:v>
                </c:pt>
                <c:pt idx="11">
                  <c:v>25000</c:v>
                </c:pt>
                <c:pt idx="12">
                  <c:v>25000</c:v>
                </c:pt>
                <c:pt idx="13">
                  <c:v>25000</c:v>
                </c:pt>
                <c:pt idx="14">
                  <c:v>25000</c:v>
                </c:pt>
                <c:pt idx="15">
                  <c:v>25000</c:v>
                </c:pt>
                <c:pt idx="16">
                  <c:v>25000</c:v>
                </c:pt>
                <c:pt idx="17">
                  <c:v>25000</c:v>
                </c:pt>
                <c:pt idx="18">
                  <c:v>25000</c:v>
                </c:pt>
                <c:pt idx="19">
                  <c:v>25000</c:v>
                </c:pt>
                <c:pt idx="20">
                  <c:v>25000</c:v>
                </c:pt>
                <c:pt idx="21">
                  <c:v>25000</c:v>
                </c:pt>
                <c:pt idx="22">
                  <c:v>25000</c:v>
                </c:pt>
                <c:pt idx="23">
                  <c:v>25000</c:v>
                </c:pt>
                <c:pt idx="24">
                  <c:v>25000</c:v>
                </c:pt>
                <c:pt idx="25">
                  <c:v>25000</c:v>
                </c:pt>
                <c:pt idx="26">
                  <c:v>25000</c:v>
                </c:pt>
                <c:pt idx="27">
                  <c:v>25000</c:v>
                </c:pt>
                <c:pt idx="28">
                  <c:v>25000</c:v>
                </c:pt>
                <c:pt idx="29">
                  <c:v>25000</c:v>
                </c:pt>
                <c:pt idx="30">
                  <c:v>25000</c:v>
                </c:pt>
                <c:pt idx="31">
                  <c:v>25000</c:v>
                </c:pt>
                <c:pt idx="32">
                  <c:v>25000</c:v>
                </c:pt>
                <c:pt idx="33">
                  <c:v>25000</c:v>
                </c:pt>
                <c:pt idx="34">
                  <c:v>25000</c:v>
                </c:pt>
                <c:pt idx="35">
                  <c:v>25000</c:v>
                </c:pt>
                <c:pt idx="36">
                  <c:v>25000</c:v>
                </c:pt>
                <c:pt idx="37">
                  <c:v>25000</c:v>
                </c:pt>
                <c:pt idx="38">
                  <c:v>25000</c:v>
                </c:pt>
                <c:pt idx="39">
                  <c:v>25000</c:v>
                </c:pt>
                <c:pt idx="40">
                  <c:v>25000</c:v>
                </c:pt>
                <c:pt idx="41">
                  <c:v>25000</c:v>
                </c:pt>
                <c:pt idx="42">
                  <c:v>25000</c:v>
                </c:pt>
                <c:pt idx="43">
                  <c:v>25000</c:v>
                </c:pt>
                <c:pt idx="44">
                  <c:v>25000</c:v>
                </c:pt>
                <c:pt idx="45">
                  <c:v>25000</c:v>
                </c:pt>
                <c:pt idx="46">
                  <c:v>25000</c:v>
                </c:pt>
                <c:pt idx="47">
                  <c:v>25000</c:v>
                </c:pt>
                <c:pt idx="48">
                  <c:v>25000</c:v>
                </c:pt>
                <c:pt idx="49">
                  <c:v>25000</c:v>
                </c:pt>
                <c:pt idx="50">
                  <c:v>25000</c:v>
                </c:pt>
                <c:pt idx="51">
                  <c:v>25000</c:v>
                </c:pt>
                <c:pt idx="52">
                  <c:v>25000</c:v>
                </c:pt>
                <c:pt idx="53">
                  <c:v>25000</c:v>
                </c:pt>
                <c:pt idx="54">
                  <c:v>25000</c:v>
                </c:pt>
                <c:pt idx="55">
                  <c:v>25000</c:v>
                </c:pt>
                <c:pt idx="56">
                  <c:v>25000</c:v>
                </c:pt>
                <c:pt idx="57">
                  <c:v>25000</c:v>
                </c:pt>
                <c:pt idx="58">
                  <c:v>25000</c:v>
                </c:pt>
                <c:pt idx="59">
                  <c:v>25000</c:v>
                </c:pt>
                <c:pt idx="60">
                  <c:v>25000</c:v>
                </c:pt>
                <c:pt idx="61">
                  <c:v>25000</c:v>
                </c:pt>
                <c:pt idx="62">
                  <c:v>25000</c:v>
                </c:pt>
                <c:pt idx="63">
                  <c:v>25000</c:v>
                </c:pt>
                <c:pt idx="64">
                  <c:v>25000</c:v>
                </c:pt>
                <c:pt idx="65">
                  <c:v>25000</c:v>
                </c:pt>
                <c:pt idx="66">
                  <c:v>25000</c:v>
                </c:pt>
                <c:pt idx="67">
                  <c:v>25000</c:v>
                </c:pt>
                <c:pt idx="68">
                  <c:v>25000</c:v>
                </c:pt>
                <c:pt idx="69">
                  <c:v>25000</c:v>
                </c:pt>
                <c:pt idx="70">
                  <c:v>25000</c:v>
                </c:pt>
                <c:pt idx="71">
                  <c:v>25000</c:v>
                </c:pt>
                <c:pt idx="72">
                  <c:v>25000</c:v>
                </c:pt>
                <c:pt idx="73">
                  <c:v>25000</c:v>
                </c:pt>
                <c:pt idx="74">
                  <c:v>25000</c:v>
                </c:pt>
                <c:pt idx="75">
                  <c:v>25000</c:v>
                </c:pt>
                <c:pt idx="76">
                  <c:v>25000</c:v>
                </c:pt>
                <c:pt idx="77">
                  <c:v>25000</c:v>
                </c:pt>
                <c:pt idx="78">
                  <c:v>25000</c:v>
                </c:pt>
                <c:pt idx="79">
                  <c:v>25000</c:v>
                </c:pt>
                <c:pt idx="80">
                  <c:v>25000</c:v>
                </c:pt>
                <c:pt idx="81">
                  <c:v>25000</c:v>
                </c:pt>
                <c:pt idx="82">
                  <c:v>25000</c:v>
                </c:pt>
                <c:pt idx="83">
                  <c:v>25000</c:v>
                </c:pt>
                <c:pt idx="84">
                  <c:v>25000</c:v>
                </c:pt>
                <c:pt idx="85">
                  <c:v>25000</c:v>
                </c:pt>
                <c:pt idx="86">
                  <c:v>25000</c:v>
                </c:pt>
                <c:pt idx="87">
                  <c:v>25000</c:v>
                </c:pt>
                <c:pt idx="88">
                  <c:v>25000</c:v>
                </c:pt>
                <c:pt idx="89">
                  <c:v>25000</c:v>
                </c:pt>
                <c:pt idx="90">
                  <c:v>25000</c:v>
                </c:pt>
                <c:pt idx="91">
                  <c:v>25000</c:v>
                </c:pt>
                <c:pt idx="92">
                  <c:v>25000</c:v>
                </c:pt>
                <c:pt idx="93">
                  <c:v>25000</c:v>
                </c:pt>
                <c:pt idx="94">
                  <c:v>25000</c:v>
                </c:pt>
                <c:pt idx="95">
                  <c:v>25000</c:v>
                </c:pt>
                <c:pt idx="96">
                  <c:v>25000</c:v>
                </c:pt>
                <c:pt idx="97">
                  <c:v>25000</c:v>
                </c:pt>
                <c:pt idx="98">
                  <c:v>25000</c:v>
                </c:pt>
                <c:pt idx="99">
                  <c:v>25000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569600"/>
        <c:axId val="200571136"/>
      </c:lineChart>
      <c:catAx>
        <c:axId val="200569600"/>
        <c:scaling>
          <c:orientation val="minMax"/>
        </c:scaling>
        <c:delete val="0"/>
        <c:axPos val="b"/>
        <c:majorTickMark val="out"/>
        <c:minorTickMark val="none"/>
        <c:tickLblPos val="nextTo"/>
        <c:crossAx val="200571136"/>
        <c:crosses val="autoZero"/>
        <c:auto val="1"/>
        <c:lblAlgn val="ctr"/>
        <c:lblOffset val="100"/>
        <c:noMultiLvlLbl val="0"/>
      </c:catAx>
      <c:valAx>
        <c:axId val="20057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569600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176212</xdr:colOff>
      <xdr:row>6</xdr:row>
      <xdr:rowOff>57150</xdr:rowOff>
    </xdr:from>
    <xdr:to>
      <xdr:col>10</xdr:col>
      <xdr:colOff>481012</xdr:colOff>
      <xdr:row>20</xdr:row>
      <xdr:rowOff>133350</xdr:rowOff>
    </xdr:to>
    <xdr:graphicFrame macro="">
      <xdr:nvGraphicFramePr>
        <xdr:cNvPr id="3" name="مخطط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309562</xdr:colOff>
      <xdr:row>6</xdr:row>
      <xdr:rowOff>104775</xdr:rowOff>
    </xdr:from>
    <xdr:to>
      <xdr:col>11</xdr:col>
      <xdr:colOff>4762</xdr:colOff>
      <xdr:row>20</xdr:row>
      <xdr:rowOff>180975</xdr:rowOff>
    </xdr:to>
    <xdr:graphicFrame macro="">
      <xdr:nvGraphicFramePr>
        <xdr:cNvPr id="2" name="مخطط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404812</xdr:colOff>
      <xdr:row>5</xdr:row>
      <xdr:rowOff>123825</xdr:rowOff>
    </xdr:from>
    <xdr:to>
      <xdr:col>11</xdr:col>
      <xdr:colOff>100012</xdr:colOff>
      <xdr:row>20</xdr:row>
      <xdr:rowOff>9525</xdr:rowOff>
    </xdr:to>
    <xdr:graphicFrame macro="">
      <xdr:nvGraphicFramePr>
        <xdr:cNvPr id="2" name="مخطط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</xdr:colOff>
      <xdr:row>6</xdr:row>
      <xdr:rowOff>9525</xdr:rowOff>
    </xdr:from>
    <xdr:to>
      <xdr:col>12</xdr:col>
      <xdr:colOff>357187</xdr:colOff>
      <xdr:row>20</xdr:row>
      <xdr:rowOff>85725</xdr:rowOff>
    </xdr:to>
    <xdr:graphicFrame macro="">
      <xdr:nvGraphicFramePr>
        <xdr:cNvPr id="2" name="مخطط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309562</xdr:colOff>
      <xdr:row>7</xdr:row>
      <xdr:rowOff>104775</xdr:rowOff>
    </xdr:from>
    <xdr:to>
      <xdr:col>11</xdr:col>
      <xdr:colOff>4762</xdr:colOff>
      <xdr:row>21</xdr:row>
      <xdr:rowOff>180975</xdr:rowOff>
    </xdr:to>
    <xdr:graphicFrame macro="">
      <xdr:nvGraphicFramePr>
        <xdr:cNvPr id="2" name="مخطط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204787</xdr:colOff>
      <xdr:row>4</xdr:row>
      <xdr:rowOff>57150</xdr:rowOff>
    </xdr:from>
    <xdr:to>
      <xdr:col>10</xdr:col>
      <xdr:colOff>509587</xdr:colOff>
      <xdr:row>18</xdr:row>
      <xdr:rowOff>133350</xdr:rowOff>
    </xdr:to>
    <xdr:graphicFrame macro="">
      <xdr:nvGraphicFramePr>
        <xdr:cNvPr id="2" name="مخطط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176212</xdr:colOff>
      <xdr:row>8</xdr:row>
      <xdr:rowOff>104775</xdr:rowOff>
    </xdr:from>
    <xdr:to>
      <xdr:col>10</xdr:col>
      <xdr:colOff>481012</xdr:colOff>
      <xdr:row>22</xdr:row>
      <xdr:rowOff>180975</xdr:rowOff>
    </xdr:to>
    <xdr:graphicFrame macro="">
      <xdr:nvGraphicFramePr>
        <xdr:cNvPr id="2" name="مخطط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</xdr:colOff>
      <xdr:row>2</xdr:row>
      <xdr:rowOff>171450</xdr:rowOff>
    </xdr:from>
    <xdr:to>
      <xdr:col>10</xdr:col>
      <xdr:colOff>376237</xdr:colOff>
      <xdr:row>17</xdr:row>
      <xdr:rowOff>57150</xdr:rowOff>
    </xdr:to>
    <xdr:graphicFrame macro="">
      <xdr:nvGraphicFramePr>
        <xdr:cNvPr id="2" name="مخطط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319087</xdr:colOff>
      <xdr:row>7</xdr:row>
      <xdr:rowOff>57150</xdr:rowOff>
    </xdr:from>
    <xdr:to>
      <xdr:col>11</xdr:col>
      <xdr:colOff>14287</xdr:colOff>
      <xdr:row>21</xdr:row>
      <xdr:rowOff>133350</xdr:rowOff>
    </xdr:to>
    <xdr:graphicFrame macro="">
      <xdr:nvGraphicFramePr>
        <xdr:cNvPr id="2" name="مخطط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204787</xdr:colOff>
      <xdr:row>6</xdr:row>
      <xdr:rowOff>180975</xdr:rowOff>
    </xdr:from>
    <xdr:to>
      <xdr:col>11</xdr:col>
      <xdr:colOff>509587</xdr:colOff>
      <xdr:row>21</xdr:row>
      <xdr:rowOff>66675</xdr:rowOff>
    </xdr:to>
    <xdr:graphicFrame macro="">
      <xdr:nvGraphicFramePr>
        <xdr:cNvPr id="2" name="مخطط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290512</xdr:colOff>
      <xdr:row>4</xdr:row>
      <xdr:rowOff>171450</xdr:rowOff>
    </xdr:from>
    <xdr:to>
      <xdr:col>11</xdr:col>
      <xdr:colOff>595312</xdr:colOff>
      <xdr:row>19</xdr:row>
      <xdr:rowOff>57150</xdr:rowOff>
    </xdr:to>
    <xdr:graphicFrame macro="">
      <xdr:nvGraphicFramePr>
        <xdr:cNvPr id="2" name="مخطط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252412</xdr:colOff>
      <xdr:row>6</xdr:row>
      <xdr:rowOff>28575</xdr:rowOff>
    </xdr:from>
    <xdr:to>
      <xdr:col>10</xdr:col>
      <xdr:colOff>557212</xdr:colOff>
      <xdr:row>20</xdr:row>
      <xdr:rowOff>104775</xdr:rowOff>
    </xdr:to>
    <xdr:graphicFrame macro="">
      <xdr:nvGraphicFramePr>
        <xdr:cNvPr id="2" name="مخطط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566737</xdr:colOff>
      <xdr:row>6</xdr:row>
      <xdr:rowOff>47625</xdr:rowOff>
    </xdr:from>
    <xdr:to>
      <xdr:col>11</xdr:col>
      <xdr:colOff>261937</xdr:colOff>
      <xdr:row>20</xdr:row>
      <xdr:rowOff>123825</xdr:rowOff>
    </xdr:to>
    <xdr:graphicFrame macro="">
      <xdr:nvGraphicFramePr>
        <xdr:cNvPr id="2" name="مخطط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188.922098726849" createdVersion="4" refreshedVersion="4" minRefreshableVersion="3" recordCount="115">
  <cacheSource type="worksheet">
    <worksheetSource name="الجدول1"/>
  </cacheSource>
  <cacheFields count="21">
    <cacheField name="ID" numFmtId="0">
      <sharedItems containsMixedTypes="1" containsNumber="1" containsInteger="1" minValue="1" maxValue="100" count="1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s v="Total Employees"/>
        <s v="Total Savings"/>
        <s v="Average Reduction %"/>
        <s v="Maximum Salary"/>
        <s v="Minimum Salary"/>
        <s v="Average Salary"/>
        <s v="Total Revenue"/>
        <s v="Maximum Revenue"/>
        <s v="Minimum Revenue"/>
        <s v="Average Attendance"/>
        <s v="Maximum Attendance"/>
        <s v="Minimum Attendance"/>
        <s v="Average Rating"/>
        <s v="Maximum Rating"/>
        <s v="Total Cost"/>
      </sharedItems>
    </cacheField>
    <cacheField name="Department" numFmtId="0">
      <sharedItems containsMixedTypes="1" containsNumber="1" minValue="0.4780929265184547" maxValue="2703000" count="23">
        <s v="Executive"/>
        <s v="IT"/>
        <s v="Finance"/>
        <s v="HR"/>
        <s v="Operations"/>
        <s v="Sales"/>
        <s v="Marketing"/>
        <s v="Admin"/>
        <s v="Support"/>
        <n v="100"/>
        <n v="2703000"/>
        <n v="0.4780929265184547"/>
        <n v="250000"/>
        <n v="30500"/>
        <n v="63230"/>
        <n v="2682000"/>
        <n v="95000"/>
        <n v="3200"/>
        <n v="90.78"/>
        <n v="44"/>
        <n v="4.7640000000000002"/>
        <n v="10"/>
        <n v="1793780"/>
      </sharedItems>
    </cacheField>
    <cacheField name="Position" numFmtId="0">
      <sharedItems containsBlank="1"/>
    </cacheField>
    <cacheField name="Current Salary" numFmtId="0">
      <sharedItems containsString="0" containsBlank="1" containsNumber="1" containsInteger="1" minValue="30500" maxValue="250000"/>
    </cacheField>
    <cacheField name="Proposed Salary" numFmtId="0">
      <sharedItems containsString="0" containsBlank="1" containsNumber="1" containsInteger="1" minValue="5500" maxValue="150000"/>
    </cacheField>
    <cacheField name="Savings" numFmtId="0">
      <sharedItems containsString="0" containsBlank="1" containsNumber="1" containsInteger="1" minValue="25000" maxValue="100000"/>
    </cacheField>
    <cacheField name="% Reduction" numFmtId="0">
      <sharedItems containsString="0" containsBlank="1" containsNumber="1" minValue="0.27272727272727271" maxValue="0.81967213114754101"/>
    </cacheField>
    <cacheField name="Performance Score" numFmtId="0">
      <sharedItems containsString="0" containsBlank="1" containsNumber="1" containsInteger="1" minValue="2" maxValue="13"/>
    </cacheField>
    <cacheField name="Years of Service" numFmtId="0">
      <sharedItems containsString="0" containsBlank="1" containsNumber="1" containsInteger="1" minValue="1" maxValue="10"/>
    </cacheField>
    <cacheField name="Risk Level" numFmtId="0">
      <sharedItems containsBlank="1" count="4">
        <s v="Low"/>
        <s v="Medium"/>
        <s v="High"/>
        <m/>
      </sharedItems>
    </cacheField>
    <cacheField name="Recommendation" numFmtId="0">
      <sharedItems containsBlank="1" count="4">
        <s v="Review"/>
        <s v="Reduce"/>
        <s v="Keep"/>
        <m/>
      </sharedItems>
    </cacheField>
    <cacheField name="Attendance Rate %" numFmtId="0">
      <sharedItems containsString="0" containsBlank="1" containsNumber="1" containsInteger="1" minValue="44" maxValue="100"/>
    </cacheField>
    <cacheField name="Overtime Hours" numFmtId="0">
      <sharedItems containsString="0" containsBlank="1" containsNumber="1" containsInteger="1" minValue="2" maxValue="21"/>
    </cacheField>
    <cacheField name="Training Cost" numFmtId="0">
      <sharedItems containsString="0" containsBlank="1" containsNumber="1" containsInteger="1" minValue="100" maxValue="4000"/>
    </cacheField>
    <cacheField name="Monthly Revenue Generated" numFmtId="0">
      <sharedItems containsString="0" containsBlank="1" containsNumber="1" containsInteger="1" minValue="3200" maxValue="95000"/>
    </cacheField>
    <cacheField name="Cost to Company" numFmtId="0">
      <sharedItems containsString="0" containsBlank="1" containsNumber="1" containsInteger="1" minValue="1700" maxValue="78000" count="89">
        <n v="72000"/>
        <n v="68000"/>
        <n v="65000"/>
        <n v="62000"/>
        <n v="60000"/>
        <n v="75000"/>
        <n v="70000"/>
        <n v="67000"/>
        <n v="58000"/>
        <n v="78000"/>
        <n v="74000"/>
        <n v="66000"/>
        <n v="63000"/>
        <n v="76000"/>
        <n v="6500"/>
        <n v="4800"/>
        <n v="4200"/>
        <n v="7000"/>
        <n v="2200"/>
        <n v="8500"/>
        <n v="5000"/>
        <n v="6200"/>
        <n v="1800"/>
        <n v="7800"/>
        <n v="6000"/>
        <n v="4300"/>
        <n v="7100"/>
        <n v="2500"/>
        <n v="8200"/>
        <n v="5400"/>
        <n v="1900"/>
        <n v="7600"/>
        <n v="9000"/>
        <n v="6100"/>
        <n v="2300"/>
        <n v="7900"/>
        <n v="4600"/>
        <n v="2000"/>
        <n v="9800"/>
        <n v="7300"/>
        <n v="3100"/>
        <n v="8700"/>
        <n v="3900"/>
        <n v="6700"/>
        <n v="1700"/>
        <n v="9400"/>
        <n v="5900"/>
        <n v="4500"/>
        <n v="7200"/>
        <n v="2250"/>
        <n v="8400"/>
        <n v="5600"/>
        <n v="2900"/>
        <n v="7700"/>
        <n v="9100"/>
        <n v="6400"/>
        <n v="4100"/>
        <n v="8000"/>
        <n v="2100"/>
        <n v="8800"/>
        <n v="5100"/>
        <n v="2400"/>
        <n v="6800"/>
        <n v="4550"/>
        <n v="9600"/>
        <n v="5800"/>
        <n v="3000"/>
        <n v="7500"/>
        <n v="1850"/>
        <n v="5850"/>
        <n v="4000"/>
        <n v="7350"/>
        <n v="2280"/>
        <n v="8650"/>
        <n v="5150"/>
        <n v="6300"/>
        <n v="3200"/>
        <n v="7950"/>
        <n v="2050"/>
        <n v="9200"/>
        <n v="5950"/>
        <n v="4450"/>
        <n v="7480"/>
        <n v="8350"/>
        <n v="5920"/>
        <n v="4050"/>
        <n v="7400"/>
        <n v="2350"/>
        <m/>
      </sharedItems>
    </cacheField>
    <cacheField name="Bonus Amount" numFmtId="0">
      <sharedItems containsString="0" containsBlank="1" containsNumber="1" containsInteger="1" minValue="80" maxValue="6500"/>
    </cacheField>
    <cacheField name="Manager Rating" numFmtId="0">
      <sharedItems containsString="0" containsBlank="1" containsNumber="1" minValue="2.7" maxValue="10"/>
    </cacheField>
    <cacheField name="Promotion Eligible" numFmtId="0">
      <sharedItems containsBlank="1"/>
    </cacheField>
    <cacheField name="Remote Work" numFmtId="0">
      <sharedItems containsBlank="1"/>
    </cacheField>
    <cacheField name="Employment 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5">
  <r>
    <x v="0"/>
    <x v="0"/>
    <s v="CEO"/>
    <n v="250000"/>
    <n v="150000"/>
    <n v="100000"/>
    <n v="0.4"/>
    <n v="2"/>
    <n v="4"/>
    <x v="0"/>
    <x v="0"/>
    <n v="98"/>
    <n v="12"/>
    <n v="3000"/>
    <n v="85000"/>
    <x v="0"/>
    <n v="5000"/>
    <n v="9"/>
    <s v="Yes"/>
    <s v="Yes"/>
    <s v="Full-Time"/>
  </r>
  <r>
    <x v="1"/>
    <x v="0"/>
    <s v="CFO"/>
    <n v="180000"/>
    <n v="120000"/>
    <n v="60000"/>
    <n v="0.33333333333333331"/>
    <n v="2"/>
    <n v="3"/>
    <x v="0"/>
    <x v="0"/>
    <n v="95"/>
    <n v="10"/>
    <n v="2500"/>
    <n v="78000"/>
    <x v="1"/>
    <n v="4500"/>
    <n v="8"/>
    <s v="No"/>
    <s v="Yes"/>
    <s v="Full-Time"/>
  </r>
  <r>
    <x v="2"/>
    <x v="0"/>
    <s v="COO"/>
    <n v="170000"/>
    <n v="110000"/>
    <n v="60000"/>
    <n v="0.35294117647058826"/>
    <n v="7"/>
    <n v="6"/>
    <x v="1"/>
    <x v="1"/>
    <n v="92"/>
    <n v="8"/>
    <n v="2000"/>
    <n v="70000"/>
    <x v="2"/>
    <n v="4000"/>
    <n v="8"/>
    <s v="Yes"/>
    <s v="No"/>
    <s v="Full-Time"/>
  </r>
  <r>
    <x v="3"/>
    <x v="1"/>
    <s v="Director"/>
    <n v="120000"/>
    <n v="85000"/>
    <n v="35000"/>
    <n v="0.29166666666666669"/>
    <n v="6"/>
    <n v="5"/>
    <x v="1"/>
    <x v="1"/>
    <n v="88"/>
    <n v="15"/>
    <n v="3500"/>
    <n v="65000"/>
    <x v="3"/>
    <n v="3500"/>
    <n v="7"/>
    <s v="No"/>
    <s v="No"/>
    <s v="Full-Time"/>
  </r>
  <r>
    <x v="4"/>
    <x v="1"/>
    <s v="Director"/>
    <n v="115000"/>
    <n v="80000"/>
    <n v="35000"/>
    <n v="0.30434782608695654"/>
    <n v="5"/>
    <n v="6"/>
    <x v="1"/>
    <x v="1"/>
    <n v="85"/>
    <n v="20"/>
    <n v="4000"/>
    <n v="60000"/>
    <x v="4"/>
    <n v="3000"/>
    <n v="6"/>
    <s v="No"/>
    <s v="Yes"/>
    <s v="Part-Time"/>
  </r>
  <r>
    <x v="5"/>
    <x v="2"/>
    <s v="Director"/>
    <n v="110000"/>
    <n v="80000"/>
    <n v="30000"/>
    <n v="0.27272727272727271"/>
    <n v="4"/>
    <n v="10"/>
    <x v="2"/>
    <x v="0"/>
    <n v="97"/>
    <n v="5"/>
    <n v="1500"/>
    <n v="90000"/>
    <x v="5"/>
    <n v="6000"/>
    <n v="10"/>
    <s v="Yes"/>
    <s v="Yes"/>
    <s v="Full-Time"/>
  </r>
  <r>
    <x v="6"/>
    <x v="3"/>
    <s v="Director"/>
    <n v="105000"/>
    <n v="70000"/>
    <n v="35000"/>
    <n v="0.33333333333333331"/>
    <n v="3"/>
    <n v="10"/>
    <x v="2"/>
    <x v="0"/>
    <n v="94"/>
    <n v="7"/>
    <n v="1800"/>
    <n v="82000"/>
    <x v="6"/>
    <n v="4500"/>
    <n v="8"/>
    <s v="Yes"/>
    <s v="No"/>
    <s v="Full-Time"/>
  </r>
  <r>
    <x v="7"/>
    <x v="4"/>
    <s v="Director"/>
    <n v="100000"/>
    <n v="70000"/>
    <n v="30000"/>
    <n v="0.3"/>
    <n v="2"/>
    <n v="10"/>
    <x v="2"/>
    <x v="0"/>
    <n v="91"/>
    <n v="9"/>
    <n v="2200"/>
    <n v="76000"/>
    <x v="7"/>
    <n v="4000"/>
    <n v="7"/>
    <s v="No"/>
    <s v="Yes"/>
    <s v="Full-Time"/>
  </r>
  <r>
    <x v="8"/>
    <x v="5"/>
    <s v="Director"/>
    <n v="98000"/>
    <n v="60000"/>
    <n v="38000"/>
    <n v="0.38775510204081631"/>
    <n v="10"/>
    <n v="10"/>
    <x v="2"/>
    <x v="2"/>
    <n v="89"/>
    <n v="11"/>
    <n v="2600"/>
    <n v="72000"/>
    <x v="2"/>
    <n v="3500"/>
    <n v="7"/>
    <s v="No"/>
    <s v="No"/>
    <s v="Full-Time"/>
  </r>
  <r>
    <x v="9"/>
    <x v="6"/>
    <s v="Director"/>
    <n v="95000"/>
    <n v="65000"/>
    <n v="30000"/>
    <n v="0.31578947368421051"/>
    <n v="9"/>
    <n v="10"/>
    <x v="2"/>
    <x v="2"/>
    <n v="83"/>
    <n v="18"/>
    <n v="3200"/>
    <n v="55000"/>
    <x v="8"/>
    <n v="2500"/>
    <n v="5"/>
    <s v="No"/>
    <s v="Yes"/>
    <s v="Part-Time"/>
  </r>
  <r>
    <x v="10"/>
    <x v="1"/>
    <s v="Manager"/>
    <n v="90000"/>
    <n v="65000"/>
    <n v="25000"/>
    <n v="0.27777777777777779"/>
    <n v="8"/>
    <n v="10"/>
    <x v="2"/>
    <x v="2"/>
    <n v="99"/>
    <n v="4"/>
    <n v="1200"/>
    <n v="95000"/>
    <x v="9"/>
    <n v="6500"/>
    <n v="10"/>
    <s v="Yes"/>
    <s v="Yes"/>
    <s v="Full-Time"/>
  </r>
  <r>
    <x v="11"/>
    <x v="1"/>
    <s v="Manager"/>
    <n v="89000"/>
    <n v="64000"/>
    <n v="25000"/>
    <n v="0.2808988764044944"/>
    <n v="9"/>
    <n v="10"/>
    <x v="2"/>
    <x v="2"/>
    <n v="96"/>
    <n v="6"/>
    <n v="1600"/>
    <n v="88000"/>
    <x v="10"/>
    <n v="5500"/>
    <n v="9"/>
    <s v="Yes"/>
    <s v="No"/>
    <s v="Full-Time"/>
  </r>
  <r>
    <x v="12"/>
    <x v="2"/>
    <s v="Manager"/>
    <n v="88000"/>
    <n v="63000"/>
    <n v="25000"/>
    <n v="0.28409090909090912"/>
    <n v="8"/>
    <n v="9"/>
    <x v="2"/>
    <x v="2"/>
    <n v="93"/>
    <n v="8"/>
    <n v="2100"/>
    <n v="81000"/>
    <x v="6"/>
    <n v="4500"/>
    <n v="8"/>
    <s v="Yes"/>
    <s v="Yes"/>
    <s v="Full-Time"/>
  </r>
  <r>
    <x v="13"/>
    <x v="2"/>
    <s v="Manager"/>
    <n v="87000"/>
    <n v="62000"/>
    <n v="25000"/>
    <n v="0.28735632183908044"/>
    <n v="7"/>
    <n v="3"/>
    <x v="0"/>
    <x v="1"/>
    <n v="90"/>
    <n v="10"/>
    <n v="2400"/>
    <n v="74000"/>
    <x v="11"/>
    <n v="4000"/>
    <n v="7"/>
    <s v="No"/>
    <s v="No"/>
    <s v="Full-Time"/>
  </r>
  <r>
    <x v="14"/>
    <x v="3"/>
    <s v="Manager"/>
    <n v="86000"/>
    <n v="61000"/>
    <n v="25000"/>
    <n v="0.29069767441860467"/>
    <n v="6"/>
    <n v="2"/>
    <x v="0"/>
    <x v="1"/>
    <n v="87"/>
    <n v="14"/>
    <n v="2900"/>
    <n v="68000"/>
    <x v="12"/>
    <n v="3500"/>
    <n v="6"/>
    <s v="No"/>
    <s v="Yes"/>
    <s v="Part-Time"/>
  </r>
  <r>
    <x v="15"/>
    <x v="3"/>
    <s v="Manager"/>
    <n v="85000"/>
    <n v="60000"/>
    <n v="25000"/>
    <n v="0.29411764705882354"/>
    <n v="10"/>
    <n v="9"/>
    <x v="2"/>
    <x v="2"/>
    <n v="84"/>
    <n v="16"/>
    <n v="3300"/>
    <n v="62000"/>
    <x v="4"/>
    <n v="3000"/>
    <n v="5"/>
    <s v="No"/>
    <s v="No"/>
    <s v="Part-Time"/>
  </r>
  <r>
    <x v="16"/>
    <x v="5"/>
    <s v="Manager"/>
    <n v="84000"/>
    <n v="59000"/>
    <n v="25000"/>
    <n v="0.29761904761904762"/>
    <n v="9"/>
    <n v="8"/>
    <x v="2"/>
    <x v="2"/>
    <n v="98"/>
    <n v="5"/>
    <n v="1400"/>
    <n v="91000"/>
    <x v="13"/>
    <n v="6000"/>
    <n v="10"/>
    <s v="Yes"/>
    <s v="Yes"/>
    <s v="Full-Time"/>
  </r>
  <r>
    <x v="17"/>
    <x v="5"/>
    <s v="Manager"/>
    <n v="83000"/>
    <n v="58000"/>
    <n v="25000"/>
    <n v="0.30120481927710846"/>
    <n v="9"/>
    <n v="8"/>
    <x v="2"/>
    <x v="2"/>
    <n v="95"/>
    <n v="7"/>
    <n v="1900"/>
    <n v="84000"/>
    <x v="0"/>
    <n v="5000"/>
    <n v="8"/>
    <s v="Yes"/>
    <s v="No"/>
    <s v="Full-Time"/>
  </r>
  <r>
    <x v="18"/>
    <x v="6"/>
    <s v="Manager"/>
    <n v="82000"/>
    <n v="57000"/>
    <n v="25000"/>
    <n v="0.3048780487804878"/>
    <n v="9"/>
    <n v="9"/>
    <x v="2"/>
    <x v="2"/>
    <n v="92"/>
    <n v="9"/>
    <n v="2300"/>
    <n v="77000"/>
    <x v="1"/>
    <n v="4500"/>
    <n v="7"/>
    <s v="No"/>
    <s v="Yes"/>
    <s v="Full-Time"/>
  </r>
  <r>
    <x v="19"/>
    <x v="6"/>
    <s v="Manager"/>
    <n v="81000"/>
    <n v="56000"/>
    <n v="25000"/>
    <n v="0.30864197530864196"/>
    <n v="7"/>
    <n v="5"/>
    <x v="1"/>
    <x v="1"/>
    <n v="86"/>
    <n v="13"/>
    <n v="2800"/>
    <n v="69000"/>
    <x v="3"/>
    <n v="3000"/>
    <n v="6"/>
    <s v="No"/>
    <s v="No"/>
    <s v="Part-Time"/>
  </r>
  <r>
    <x v="20"/>
    <x v="1"/>
    <s v="Developer ,Senior"/>
    <n v="80000"/>
    <n v="55000"/>
    <n v="25000"/>
    <n v="0.3125"/>
    <n v="8"/>
    <n v="10"/>
    <x v="2"/>
    <x v="2"/>
    <n v="88"/>
    <n v="12"/>
    <n v="800"/>
    <n v="18000"/>
    <x v="14"/>
    <n v="1200"/>
    <n v="4.8"/>
    <s v="Yes"/>
    <s v="Yes"/>
    <s v="Full-Time"/>
  </r>
  <r>
    <x v="21"/>
    <x v="1"/>
    <s v="Developer ,Senior"/>
    <n v="79000"/>
    <n v="54000"/>
    <n v="25000"/>
    <n v="0.31645569620253167"/>
    <n v="9"/>
    <n v="10"/>
    <x v="2"/>
    <x v="2"/>
    <n v="76"/>
    <n v="8"/>
    <n v="400"/>
    <n v="9000"/>
    <x v="15"/>
    <n v="500"/>
    <n v="3.5"/>
    <s v="No"/>
    <s v="No"/>
    <s v="Full-Time"/>
  </r>
  <r>
    <x v="22"/>
    <x v="1"/>
    <s v="Developer ,Senior"/>
    <n v="78000"/>
    <n v="53000"/>
    <n v="25000"/>
    <n v="0.32051282051282054"/>
    <n v="9"/>
    <n v="10"/>
    <x v="2"/>
    <x v="2"/>
    <n v="88"/>
    <n v="15"/>
    <n v="250"/>
    <n v="7500"/>
    <x v="16"/>
    <n v="300"/>
    <n v="3.9"/>
    <s v="No"/>
    <s v="No"/>
    <s v="Contract"/>
  </r>
  <r>
    <x v="23"/>
    <x v="1"/>
    <s v="Developer ,Senior"/>
    <n v="77000"/>
    <n v="52000"/>
    <n v="25000"/>
    <n v="0.32467532467532467"/>
    <n v="7"/>
    <n v="7"/>
    <x v="1"/>
    <x v="1"/>
    <n v="44"/>
    <n v="10"/>
    <n v="900"/>
    <n v="20000"/>
    <x v="17"/>
    <n v="1000"/>
    <n v="4.5999999999999996"/>
    <s v="Yes"/>
    <s v="Yes"/>
    <s v="Full-Time"/>
  </r>
  <r>
    <x v="24"/>
    <x v="2"/>
    <s v="Senior Accountant"/>
    <n v="76000"/>
    <n v="51000"/>
    <n v="25000"/>
    <n v="0.32894736842105265"/>
    <n v="6"/>
    <n v="3"/>
    <x v="0"/>
    <x v="1"/>
    <n v="98"/>
    <n v="5"/>
    <n v="150"/>
    <n v="4500"/>
    <x v="18"/>
    <n v="150"/>
    <n v="3.2"/>
    <s v="No"/>
    <s v="No"/>
    <s v="Part-Time"/>
  </r>
  <r>
    <x v="25"/>
    <x v="2"/>
    <s v="Senior Accountant"/>
    <n v="75000"/>
    <n v="50000"/>
    <n v="25000"/>
    <n v="0.33333333333333331"/>
    <n v="3"/>
    <n v="3"/>
    <x v="0"/>
    <x v="0"/>
    <n v="95"/>
    <n v="18"/>
    <n v="1000"/>
    <n v="25000"/>
    <x v="19"/>
    <n v="1500"/>
    <n v="4.9000000000000004"/>
    <s v="Yes"/>
    <s v="Yes"/>
    <s v="Full-Time"/>
  </r>
  <r>
    <x v="26"/>
    <x v="2"/>
    <s v="Senior Accountant"/>
    <n v="74000"/>
    <n v="49000"/>
    <n v="25000"/>
    <n v="0.33783783783783783"/>
    <n v="4"/>
    <n v="2"/>
    <x v="0"/>
    <x v="0"/>
    <n v="92"/>
    <n v="20"/>
    <n v="300"/>
    <n v="11000"/>
    <x v="20"/>
    <n v="400"/>
    <n v="4.0999999999999996"/>
    <s v="No"/>
    <s v="No"/>
    <s v="Contract"/>
  </r>
  <r>
    <x v="27"/>
    <x v="3"/>
    <s v="Senior Officer"/>
    <n v="73000"/>
    <n v="48000"/>
    <n v="25000"/>
    <n v="0.34246575342465752"/>
    <n v="5"/>
    <n v="2"/>
    <x v="0"/>
    <x v="1"/>
    <n v="88"/>
    <n v="9"/>
    <n v="700"/>
    <n v="17000"/>
    <x v="21"/>
    <n v="900"/>
    <n v="4.4000000000000004"/>
    <s v="Yes"/>
    <s v="Yes"/>
    <s v="Full-Time"/>
  </r>
  <r>
    <x v="28"/>
    <x v="3"/>
    <s v="Senior Officer"/>
    <n v="72000"/>
    <n v="47000"/>
    <n v="25000"/>
    <n v="0.34722222222222221"/>
    <n v="6"/>
    <n v="3"/>
    <x v="0"/>
    <x v="1"/>
    <n v="97"/>
    <n v="4"/>
    <n v="100"/>
    <n v="3500"/>
    <x v="22"/>
    <n v="100"/>
    <n v="3"/>
    <s v="No"/>
    <s v="No"/>
    <s v="Part-Time"/>
  </r>
  <r>
    <x v="29"/>
    <x v="3"/>
    <s v="Senior Officer"/>
    <n v="71000"/>
    <n v="46000"/>
    <n v="25000"/>
    <n v="0.352112676056338"/>
    <n v="7"/>
    <n v="6"/>
    <x v="1"/>
    <x v="1"/>
    <n v="90"/>
    <n v="14"/>
    <n v="850"/>
    <n v="22000"/>
    <x v="23"/>
    <n v="1300"/>
    <n v="4.7"/>
    <s v="Yes"/>
    <s v="Yes"/>
    <s v="Full-Time"/>
  </r>
  <r>
    <x v="30"/>
    <x v="5"/>
    <s v="Senior Rep"/>
    <n v="70000"/>
    <n v="45000"/>
    <n v="25000"/>
    <n v="0.35714285714285715"/>
    <n v="9"/>
    <n v="9"/>
    <x v="2"/>
    <x v="2"/>
    <n v="85"/>
    <n v="11"/>
    <n v="650"/>
    <n v="16000"/>
    <x v="24"/>
    <n v="850"/>
    <n v="4.3"/>
    <s v="Yes"/>
    <s v="Yes"/>
    <s v="Full-Time"/>
  </r>
  <r>
    <x v="31"/>
    <x v="5"/>
    <s v="Senior Rep"/>
    <n v="69000"/>
    <n v="44000"/>
    <n v="25000"/>
    <n v="0.36231884057971014"/>
    <n v="9"/>
    <n v="9"/>
    <x v="2"/>
    <x v="2"/>
    <n v="94"/>
    <n v="7"/>
    <n v="300"/>
    <n v="8200"/>
    <x v="25"/>
    <n v="250"/>
    <n v="3.4"/>
    <s v="No"/>
    <s v="No"/>
    <s v="Contract"/>
  </r>
  <r>
    <x v="32"/>
    <x v="5"/>
    <s v="Senior Rep"/>
    <n v="68000"/>
    <n v="43000"/>
    <n v="25000"/>
    <n v="0.36764705882352944"/>
    <n v="9"/>
    <n v="10"/>
    <x v="2"/>
    <x v="2"/>
    <n v="99"/>
    <n v="13"/>
    <n v="750"/>
    <n v="19500"/>
    <x v="26"/>
    <n v="1100"/>
    <n v="4.7"/>
    <s v="Yes"/>
    <s v="Yes"/>
    <s v="Full-Time"/>
  </r>
  <r>
    <x v="33"/>
    <x v="6"/>
    <s v="Specialist"/>
    <n v="67000"/>
    <n v="42000"/>
    <n v="25000"/>
    <n v="0.37313432835820898"/>
    <n v="9"/>
    <n v="10"/>
    <x v="2"/>
    <x v="2"/>
    <n v="91"/>
    <n v="6"/>
    <n v="200"/>
    <n v="5200"/>
    <x v="27"/>
    <n v="180"/>
    <n v="3.1"/>
    <s v="No"/>
    <s v="No"/>
    <s v="Part-Time"/>
  </r>
  <r>
    <x v="34"/>
    <x v="6"/>
    <s v="Specialist"/>
    <n v="66000"/>
    <n v="41000"/>
    <n v="25000"/>
    <n v="0.37878787878787878"/>
    <n v="8"/>
    <n v="10"/>
    <x v="2"/>
    <x v="2"/>
    <n v="87"/>
    <n v="17"/>
    <n v="950"/>
    <n v="24000"/>
    <x v="28"/>
    <n v="1400"/>
    <n v="4.8"/>
    <s v="Yes"/>
    <s v="Yes"/>
    <s v="Full-Time"/>
  </r>
  <r>
    <x v="35"/>
    <x v="6"/>
    <s v="Specialist"/>
    <n v="65000"/>
    <n v="40000"/>
    <n v="25000"/>
    <n v="0.38461538461538464"/>
    <n v="8"/>
    <n v="8"/>
    <x v="2"/>
    <x v="2"/>
    <n v="96"/>
    <n v="9"/>
    <n v="500"/>
    <n v="12500"/>
    <x v="29"/>
    <n v="600"/>
    <n v="4"/>
    <s v="Yes"/>
    <s v="No"/>
    <s v="Full-Time"/>
  </r>
  <r>
    <x v="36"/>
    <x v="4"/>
    <s v="Supervisor"/>
    <n v="64000"/>
    <n v="39000"/>
    <n v="25000"/>
    <n v="0.390625"/>
    <n v="7"/>
    <n v="5"/>
    <x v="1"/>
    <x v="1"/>
    <n v="89"/>
    <n v="3"/>
    <n v="120"/>
    <n v="3800"/>
    <x v="30"/>
    <n v="100"/>
    <n v="2.9"/>
    <s v="No"/>
    <s v="No"/>
    <s v="Part-Time"/>
  </r>
  <r>
    <x v="37"/>
    <x v="4"/>
    <s v="Supervisor"/>
    <n v="63000"/>
    <n v="38000"/>
    <n v="25000"/>
    <n v="0.3968253968253968"/>
    <n v="8"/>
    <n v="5"/>
    <x v="1"/>
    <x v="2"/>
    <n v="93"/>
    <n v="14"/>
    <n v="850"/>
    <n v="21000"/>
    <x v="31"/>
    <n v="1200"/>
    <n v="4.5999999999999996"/>
    <s v="Yes"/>
    <s v="Yes"/>
    <s v="Full-Time"/>
  </r>
  <r>
    <x v="38"/>
    <x v="4"/>
    <s v="Supervisor"/>
    <n v="62000"/>
    <n v="37000"/>
    <n v="25000"/>
    <n v="0.40322580645161288"/>
    <n v="7"/>
    <n v="6"/>
    <x v="1"/>
    <x v="1"/>
    <n v="84"/>
    <n v="19"/>
    <n v="1100"/>
    <n v="27000"/>
    <x v="32"/>
    <n v="1800"/>
    <n v="5"/>
    <s v="Yes"/>
    <s v="Yes"/>
    <s v="Full-Time"/>
  </r>
  <r>
    <x v="39"/>
    <x v="4"/>
    <s v="Supervisor"/>
    <n v="61000"/>
    <n v="36000"/>
    <n v="25000"/>
    <n v="0.4098360655737705"/>
    <n v="7"/>
    <n v="7"/>
    <x v="1"/>
    <x v="1"/>
    <n v="100"/>
    <n v="10"/>
    <n v="600"/>
    <n v="15000"/>
    <x v="33"/>
    <n v="750"/>
    <n v="4.2"/>
    <s v="Yes"/>
    <s v="No"/>
    <s v="Full-Time"/>
  </r>
  <r>
    <x v="40"/>
    <x v="1"/>
    <s v="Developer"/>
    <n v="60000"/>
    <n v="35000"/>
    <n v="25000"/>
    <n v="0.41666666666666669"/>
    <n v="6"/>
    <n v="3"/>
    <x v="0"/>
    <x v="1"/>
    <n v="95"/>
    <n v="5"/>
    <n v="180"/>
    <n v="4800"/>
    <x v="34"/>
    <n v="150"/>
    <n v="3"/>
    <s v="No"/>
    <s v="No"/>
    <s v="Part-Time"/>
  </r>
  <r>
    <x v="41"/>
    <x v="1"/>
    <s v="Developer"/>
    <n v="59500"/>
    <n v="34500"/>
    <n v="25000"/>
    <n v="0.42016806722689076"/>
    <n v="6"/>
    <n v="3"/>
    <x v="0"/>
    <x v="1"/>
    <n v="86"/>
    <n v="16"/>
    <n v="920"/>
    <n v="22500"/>
    <x v="35"/>
    <n v="1300"/>
    <n v="4.7"/>
    <s v="Yes"/>
    <s v="Yes"/>
    <s v="Full-Time"/>
  </r>
  <r>
    <x v="42"/>
    <x v="1"/>
    <s v="Developer"/>
    <n v="59000"/>
    <n v="34000"/>
    <n v="25000"/>
    <n v="0.42372881355932202"/>
    <n v="6"/>
    <n v="4"/>
    <x v="0"/>
    <x v="1"/>
    <n v="97"/>
    <n v="8"/>
    <n v="450"/>
    <n v="9800"/>
    <x v="36"/>
    <n v="400"/>
    <n v="3.8"/>
    <s v="No"/>
    <s v="Yes"/>
    <s v="Contract"/>
  </r>
  <r>
    <x v="43"/>
    <x v="1"/>
    <s v="Developer"/>
    <n v="58500"/>
    <n v="33500"/>
    <n v="25000"/>
    <n v="0.42735042735042733"/>
    <n v="5"/>
    <n v="4"/>
    <x v="0"/>
    <x v="1"/>
    <n v="92"/>
    <n v="12"/>
    <n v="700"/>
    <n v="17500"/>
    <x v="14"/>
    <n v="950"/>
    <n v="4.4000000000000004"/>
    <s v="Yes"/>
    <s v="Yes"/>
    <s v="Full-Time"/>
  </r>
  <r>
    <x v="44"/>
    <x v="1"/>
    <s v="Developer"/>
    <n v="58000"/>
    <n v="33000"/>
    <n v="25000"/>
    <n v="0.43103448275862066"/>
    <n v="6"/>
    <n v="4"/>
    <x v="0"/>
    <x v="1"/>
    <n v="88"/>
    <n v="4"/>
    <n v="150"/>
    <n v="4100"/>
    <x v="37"/>
    <n v="120"/>
    <n v="2.8"/>
    <s v="No"/>
    <s v="No"/>
    <s v="Part-Time"/>
  </r>
  <r>
    <x v="45"/>
    <x v="1"/>
    <s v="Developer"/>
    <n v="57500"/>
    <n v="32500"/>
    <n v="25000"/>
    <n v="0.43478260869565216"/>
    <n v="6"/>
    <n v="3"/>
    <x v="0"/>
    <x v="1"/>
    <n v="94"/>
    <n v="21"/>
    <n v="1200"/>
    <n v="30000"/>
    <x v="38"/>
    <n v="2000"/>
    <n v="5"/>
    <s v="Yes"/>
    <s v="Yes"/>
    <s v="Full-Time"/>
  </r>
  <r>
    <x v="46"/>
    <x v="1"/>
    <s v="Developer"/>
    <n v="57000"/>
    <n v="32000"/>
    <n v="25000"/>
    <n v="0.43859649122807015"/>
    <n v="4"/>
    <n v="1"/>
    <x v="0"/>
    <x v="0"/>
    <n v="81"/>
    <n v="15"/>
    <n v="800"/>
    <n v="20500"/>
    <x v="39"/>
    <n v="1150"/>
    <n v="4.5"/>
    <s v="Yes"/>
    <s v="Yes"/>
    <s v="Full-Time"/>
  </r>
  <r>
    <x v="47"/>
    <x v="2"/>
    <s v="Accountant"/>
    <n v="56500"/>
    <n v="31500"/>
    <n v="25000"/>
    <n v="0.44247787610619471"/>
    <n v="5"/>
    <n v="1"/>
    <x v="0"/>
    <x v="1"/>
    <n v="99"/>
    <n v="6"/>
    <n v="250"/>
    <n v="6200"/>
    <x v="40"/>
    <n v="220"/>
    <n v="3.3"/>
    <s v="No"/>
    <s v="No"/>
    <s v="Contract"/>
  </r>
  <r>
    <x v="48"/>
    <x v="2"/>
    <s v="Accountant"/>
    <n v="56000"/>
    <n v="31000"/>
    <n v="25000"/>
    <n v="0.44642857142857145"/>
    <n v="4"/>
    <n v="2"/>
    <x v="0"/>
    <x v="0"/>
    <n v="90"/>
    <n v="18"/>
    <n v="1000"/>
    <n v="25500"/>
    <x v="41"/>
    <n v="1650"/>
    <n v="4.9000000000000004"/>
    <s v="Yes"/>
    <s v="Yes"/>
    <s v="Full-Time"/>
  </r>
  <r>
    <x v="49"/>
    <x v="2"/>
    <s v="Accountant"/>
    <n v="55500"/>
    <n v="30500"/>
    <n v="25000"/>
    <n v="0.45045045045045046"/>
    <n v="3"/>
    <n v="4"/>
    <x v="0"/>
    <x v="0"/>
    <n v="85"/>
    <n v="9"/>
    <n v="520"/>
    <n v="11800"/>
    <x v="20"/>
    <n v="550"/>
    <n v="4"/>
    <s v="Yes"/>
    <s v="No"/>
    <s v="Full-Time"/>
  </r>
  <r>
    <x v="50"/>
    <x v="2"/>
    <s v="Accountant"/>
    <n v="55000"/>
    <n v="30000"/>
    <n v="25000"/>
    <n v="0.45454545454545453"/>
    <n v="6"/>
    <n v="5"/>
    <x v="0"/>
    <x v="1"/>
    <n v="96"/>
    <n v="7"/>
    <n v="350"/>
    <n v="7600"/>
    <x v="42"/>
    <n v="280"/>
    <n v="3.5"/>
    <s v="No"/>
    <s v="Yes"/>
    <s v="Contract"/>
  </r>
  <r>
    <x v="51"/>
    <x v="2"/>
    <s v="Accountant"/>
    <n v="54500"/>
    <n v="29500"/>
    <n v="25000"/>
    <n v="0.45871559633027525"/>
    <n v="6"/>
    <n v="4"/>
    <x v="0"/>
    <x v="1"/>
    <n v="87"/>
    <n v="13"/>
    <n v="780"/>
    <n v="18200"/>
    <x v="43"/>
    <n v="980"/>
    <n v="4.5"/>
    <s v="Yes"/>
    <s v="Yes"/>
    <s v="Full-Time"/>
  </r>
  <r>
    <x v="52"/>
    <x v="3"/>
    <s v="Officer"/>
    <n v="54000"/>
    <n v="29000"/>
    <n v="25000"/>
    <n v="0.46296296296296297"/>
    <n v="7"/>
    <n v="6"/>
    <x v="1"/>
    <x v="1"/>
    <n v="98"/>
    <n v="2"/>
    <n v="100"/>
    <n v="3200"/>
    <x v="44"/>
    <n v="80"/>
    <n v="2.7"/>
    <s v="No"/>
    <s v="No"/>
    <s v="Part-Time"/>
  </r>
  <r>
    <x v="53"/>
    <x v="3"/>
    <s v="Officer"/>
    <n v="53500"/>
    <n v="28500"/>
    <n v="25000"/>
    <n v="0.46728971962616822"/>
    <n v="7"/>
    <n v="7"/>
    <x v="1"/>
    <x v="1"/>
    <n v="91"/>
    <n v="20"/>
    <n v="1150"/>
    <n v="28500"/>
    <x v="45"/>
    <n v="1900"/>
    <n v="4.9000000000000004"/>
    <s v="Yes"/>
    <s v="Yes"/>
    <s v="Full-Time"/>
  </r>
  <r>
    <x v="54"/>
    <x v="3"/>
    <s v="Officer"/>
    <n v="53000"/>
    <n v="28000"/>
    <n v="25000"/>
    <n v="0.47169811320754718"/>
    <n v="7"/>
    <n v="7"/>
    <x v="1"/>
    <x v="1"/>
    <n v="84"/>
    <n v="11"/>
    <n v="640"/>
    <n v="15800"/>
    <x v="46"/>
    <n v="820"/>
    <n v="4.2"/>
    <s v="Yes"/>
    <s v="No"/>
    <s v="Full-Time"/>
  </r>
  <r>
    <x v="55"/>
    <x v="3"/>
    <s v="Officer"/>
    <n v="52500"/>
    <n v="27500"/>
    <n v="25000"/>
    <n v="0.47619047619047616"/>
    <n v="8"/>
    <n v="8"/>
    <x v="2"/>
    <x v="2"/>
    <n v="95"/>
    <n v="8"/>
    <n v="420"/>
    <n v="9300"/>
    <x v="47"/>
    <n v="350"/>
    <n v="3.7"/>
    <s v="No"/>
    <s v="Yes"/>
    <s v="Contract"/>
  </r>
  <r>
    <x v="56"/>
    <x v="3"/>
    <s v="Officer"/>
    <n v="52000"/>
    <n v="27000"/>
    <n v="25000"/>
    <n v="0.48076923076923078"/>
    <n v="9"/>
    <n v="8"/>
    <x v="2"/>
    <x v="2"/>
    <n v="82"/>
    <n v="14"/>
    <n v="830"/>
    <n v="19800"/>
    <x v="48"/>
    <n v="1080"/>
    <n v="4.5999999999999996"/>
    <s v="Yes"/>
    <s v="Yes"/>
    <s v="Full-Time"/>
  </r>
  <r>
    <x v="57"/>
    <x v="5"/>
    <s v="Representative"/>
    <n v="51500"/>
    <n v="26500"/>
    <n v="25000"/>
    <n v="0.4854368932038835"/>
    <n v="8"/>
    <n v="8"/>
    <x v="2"/>
    <x v="2"/>
    <n v="97"/>
    <n v="5"/>
    <n v="170"/>
    <n v="4600"/>
    <x v="49"/>
    <n v="140"/>
    <n v="3.1"/>
    <s v="No"/>
    <s v="No"/>
    <s v="Part-Time"/>
  </r>
  <r>
    <x v="58"/>
    <x v="5"/>
    <s v="Representative"/>
    <n v="51000"/>
    <n v="26000"/>
    <n v="25000"/>
    <n v="0.49019607843137253"/>
    <n v="9"/>
    <n v="9"/>
    <x v="2"/>
    <x v="2"/>
    <n v="93"/>
    <n v="17"/>
    <n v="980"/>
    <n v="24500"/>
    <x v="50"/>
    <n v="1450"/>
    <n v="4.8"/>
    <s v="Yes"/>
    <s v="Yes"/>
    <s v="Full-Time"/>
  </r>
  <r>
    <x v="59"/>
    <x v="5"/>
    <s v="Representative"/>
    <n v="50500"/>
    <n v="25500"/>
    <n v="25000"/>
    <n v="0.49504950495049505"/>
    <n v="10"/>
    <n v="9"/>
    <x v="2"/>
    <x v="2"/>
    <n v="86"/>
    <n v="10"/>
    <n v="570"/>
    <n v="13500"/>
    <x v="51"/>
    <n v="680"/>
    <n v="4.0999999999999996"/>
    <s v="Yes"/>
    <s v="No"/>
    <s v="Full-Time"/>
  </r>
  <r>
    <x v="60"/>
    <x v="5"/>
    <s v="Representative"/>
    <n v="50000"/>
    <n v="25000"/>
    <n v="25000"/>
    <n v="0.5"/>
    <n v="11"/>
    <n v="9"/>
    <x v="2"/>
    <x v="2"/>
    <n v="98"/>
    <n v="6"/>
    <n v="230"/>
    <n v="5900"/>
    <x v="52"/>
    <n v="210"/>
    <n v="3.4"/>
    <s v="No"/>
    <s v="No"/>
    <s v="Contract"/>
  </r>
  <r>
    <x v="61"/>
    <x v="5"/>
    <s v="Representative"/>
    <n v="49500"/>
    <n v="24500"/>
    <n v="25000"/>
    <n v="0.50505050505050508"/>
    <n v="11"/>
    <n v="10"/>
    <x v="2"/>
    <x v="2"/>
    <n v="89"/>
    <n v="15"/>
    <n v="890"/>
    <n v="21800"/>
    <x v="53"/>
    <n v="1250"/>
    <n v="4.7"/>
    <s v="Yes"/>
    <s v="Yes"/>
    <s v="Full-Time"/>
  </r>
  <r>
    <x v="62"/>
    <x v="6"/>
    <s v="Coordinator"/>
    <n v="49000"/>
    <n v="24000"/>
    <n v="25000"/>
    <n v="0.51020408163265307"/>
    <n v="6"/>
    <n v="3"/>
    <x v="0"/>
    <x v="1"/>
    <n v="96"/>
    <n v="3"/>
    <n v="130"/>
    <n v="3600"/>
    <x v="22"/>
    <n v="90"/>
    <n v="2.9"/>
    <s v="No"/>
    <s v="No"/>
    <s v="Part-Time"/>
  </r>
  <r>
    <x v="63"/>
    <x v="6"/>
    <s v="Coordinator"/>
    <n v="48500"/>
    <n v="23500"/>
    <n v="25000"/>
    <n v="0.51546391752577314"/>
    <n v="13"/>
    <n v="8"/>
    <x v="2"/>
    <x v="2"/>
    <n v="90"/>
    <n v="19"/>
    <n v="1080"/>
    <n v="26800"/>
    <x v="54"/>
    <n v="1750"/>
    <n v="4.9000000000000004"/>
    <s v="Yes"/>
    <s v="Yes"/>
    <s v="Full-Time"/>
  </r>
  <r>
    <x v="64"/>
    <x v="6"/>
    <s v="Coordinator"/>
    <n v="48000"/>
    <n v="23000"/>
    <n v="25000"/>
    <n v="0.52083333333333337"/>
    <n v="12"/>
    <n v="10"/>
    <x v="2"/>
    <x v="2"/>
    <n v="85"/>
    <n v="12"/>
    <n v="710"/>
    <n v="17200"/>
    <x v="55"/>
    <n v="920"/>
    <n v="4.4000000000000004"/>
    <s v="Yes"/>
    <s v="Yes"/>
    <s v="Full-Time"/>
  </r>
  <r>
    <x v="65"/>
    <x v="6"/>
    <s v="Coordinator"/>
    <n v="47500"/>
    <n v="22500"/>
    <n v="25000"/>
    <n v="0.52631578947368418"/>
    <n v="4"/>
    <n v="3"/>
    <x v="0"/>
    <x v="0"/>
    <n v="94"/>
    <n v="7"/>
    <n v="340"/>
    <n v="8100"/>
    <x v="56"/>
    <n v="300"/>
    <n v="3.6"/>
    <s v="No"/>
    <s v="Yes"/>
    <s v="Contract"/>
  </r>
  <r>
    <x v="66"/>
    <x v="4"/>
    <s v="Coordinator"/>
    <n v="47000"/>
    <n v="22000"/>
    <n v="25000"/>
    <n v="0.53191489361702127"/>
    <n v="3"/>
    <n v="4"/>
    <x v="0"/>
    <x v="0"/>
    <n v="88"/>
    <n v="16"/>
    <n v="940"/>
    <n v="23200"/>
    <x v="57"/>
    <n v="1350"/>
    <n v="4.8"/>
    <s v="Yes"/>
    <s v="Yes"/>
    <s v="Full-Time"/>
  </r>
  <r>
    <x v="67"/>
    <x v="4"/>
    <s v="Coordinator"/>
    <n v="46500"/>
    <n v="21500"/>
    <n v="25000"/>
    <n v="0.5376344086021505"/>
    <n v="8"/>
    <n v="4"/>
    <x v="0"/>
    <x v="2"/>
    <n v="100"/>
    <n v="4"/>
    <n v="160"/>
    <n v="4300"/>
    <x v="58"/>
    <n v="130"/>
    <n v="3"/>
    <s v="No"/>
    <s v="No"/>
    <s v="Part-Time"/>
  </r>
  <r>
    <x v="68"/>
    <x v="4"/>
    <s v="Coordinator"/>
    <n v="46000"/>
    <n v="21000"/>
    <n v="25000"/>
    <n v="0.54347826086956519"/>
    <n v="6"/>
    <n v="4"/>
    <x v="0"/>
    <x v="1"/>
    <n v="91"/>
    <n v="18"/>
    <n v="1030"/>
    <n v="25800"/>
    <x v="59"/>
    <n v="1680"/>
    <n v="4.9000000000000004"/>
    <s v="Yes"/>
    <s v="Yes"/>
    <s v="Full-Time"/>
  </r>
  <r>
    <x v="69"/>
    <x v="4"/>
    <s v="Coordinator"/>
    <n v="45500"/>
    <n v="20500"/>
    <n v="25000"/>
    <n v="0.5494505494505495"/>
    <n v="5"/>
    <n v="4"/>
    <x v="0"/>
    <x v="1"/>
    <n v="87"/>
    <n v="9"/>
    <n v="510"/>
    <n v="12100"/>
    <x v="60"/>
    <n v="570"/>
    <n v="4.0999999999999996"/>
    <s v="Yes"/>
    <s v="No"/>
    <s v="Full-Time"/>
  </r>
  <r>
    <x v="70"/>
    <x v="7"/>
    <s v="Assistant"/>
    <n v="45000"/>
    <n v="20000"/>
    <n v="25000"/>
    <n v="0.55555555555555558"/>
    <n v="5"/>
    <n v="5"/>
    <x v="0"/>
    <x v="1"/>
    <n v="95"/>
    <n v="5"/>
    <n v="190"/>
    <n v="5000"/>
    <x v="61"/>
    <n v="160"/>
    <n v="3.2"/>
    <s v="No"/>
    <s v="No"/>
    <s v="Part-Time"/>
  </r>
  <r>
    <x v="71"/>
    <x v="7"/>
    <s v="Assistant"/>
    <n v="44500"/>
    <n v="19500"/>
    <n v="25000"/>
    <n v="0.5617977528089888"/>
    <n v="4"/>
    <n v="5"/>
    <x v="0"/>
    <x v="0"/>
    <n v="83"/>
    <n v="13"/>
    <n v="760"/>
    <n v="18600"/>
    <x v="62"/>
    <n v="990"/>
    <n v="4.5"/>
    <s v="Yes"/>
    <s v="Yes"/>
    <s v="Full-Time"/>
  </r>
  <r>
    <x v="72"/>
    <x v="7"/>
    <s v="Assistant"/>
    <n v="44000"/>
    <n v="19000"/>
    <n v="25000"/>
    <n v="0.56818181818181823"/>
    <n v="4"/>
    <n v="5"/>
    <x v="0"/>
    <x v="0"/>
    <n v="97"/>
    <n v="8"/>
    <n v="430"/>
    <n v="9500"/>
    <x v="63"/>
    <n v="370"/>
    <n v="3.8"/>
    <s v="No"/>
    <s v="Yes"/>
    <s v="Contract"/>
  </r>
  <r>
    <x v="73"/>
    <x v="7"/>
    <s v="Assistant"/>
    <n v="43500"/>
    <n v="18500"/>
    <n v="25000"/>
    <n v="0.57471264367816088"/>
    <n v="3"/>
    <n v="6"/>
    <x v="0"/>
    <x v="0"/>
    <n v="92"/>
    <n v="20"/>
    <n v="1180"/>
    <n v="29200"/>
    <x v="64"/>
    <n v="1950"/>
    <n v="5"/>
    <s v="Yes"/>
    <s v="Yes"/>
    <s v="Full-Time"/>
  </r>
  <r>
    <x v="74"/>
    <x v="7"/>
    <s v="Assistant"/>
    <n v="43000"/>
    <n v="18000"/>
    <n v="25000"/>
    <n v="0.58139534883720934"/>
    <n v="7"/>
    <n v="6"/>
    <x v="1"/>
    <x v="1"/>
    <n v="86"/>
    <n v="10"/>
    <n v="590"/>
    <n v="14200"/>
    <x v="65"/>
    <n v="720"/>
    <n v="4.2"/>
    <s v="Yes"/>
    <s v="No"/>
    <s v="Full-Time"/>
  </r>
  <r>
    <x v="75"/>
    <x v="7"/>
    <s v="Assistant"/>
    <n v="42500"/>
    <n v="17500"/>
    <n v="25000"/>
    <n v="0.58823529411764708"/>
    <n v="4"/>
    <n v="3"/>
    <x v="0"/>
    <x v="0"/>
    <n v="99"/>
    <n v="6"/>
    <n v="240"/>
    <n v="6100"/>
    <x v="66"/>
    <n v="230"/>
    <n v="3.4"/>
    <s v="No"/>
    <s v="No"/>
    <s v="Contract"/>
  </r>
  <r>
    <x v="76"/>
    <x v="7"/>
    <s v="Assistant"/>
    <n v="42000"/>
    <n v="17000"/>
    <n v="25000"/>
    <n v="0.59523809523809523"/>
    <n v="4"/>
    <n v="5"/>
    <x v="0"/>
    <x v="0"/>
    <n v="90"/>
    <n v="15"/>
    <n v="870"/>
    <n v="21400"/>
    <x v="67"/>
    <n v="1220"/>
    <n v="4.5999999999999996"/>
    <s v="Yes"/>
    <s v="Yes"/>
    <s v="Full-Time"/>
  </r>
  <r>
    <x v="77"/>
    <x v="7"/>
    <s v="Assistant"/>
    <n v="41500"/>
    <n v="16500"/>
    <n v="25000"/>
    <n v="0.60240963855421692"/>
    <n v="4"/>
    <n v="4"/>
    <x v="0"/>
    <x v="0"/>
    <n v="84"/>
    <n v="3"/>
    <n v="140"/>
    <n v="3900"/>
    <x v="68"/>
    <n v="95"/>
    <n v="2.8"/>
    <s v="No"/>
    <s v="No"/>
    <s v="Part-Time"/>
  </r>
  <r>
    <x v="78"/>
    <x v="7"/>
    <s v="Assistant"/>
    <n v="41000"/>
    <n v="16000"/>
    <n v="25000"/>
    <n v="0.6097560975609756"/>
    <n v="4"/>
    <n v="4"/>
    <x v="0"/>
    <x v="0"/>
    <n v="96"/>
    <n v="17"/>
    <n v="990"/>
    <n v="24800"/>
    <x v="19"/>
    <n v="1500"/>
    <n v="4.8"/>
    <s v="Yes"/>
    <s v="Yes"/>
    <s v="Full-Time"/>
  </r>
  <r>
    <x v="79"/>
    <x v="7"/>
    <s v="Assistant"/>
    <n v="40500"/>
    <n v="15500"/>
    <n v="25000"/>
    <n v="0.61728395061728392"/>
    <n v="3"/>
    <n v="5"/>
    <x v="0"/>
    <x v="0"/>
    <n v="88"/>
    <n v="11"/>
    <n v="620"/>
    <n v="15400"/>
    <x v="69"/>
    <n v="810"/>
    <n v="4.2"/>
    <s v="Yes"/>
    <s v="No"/>
    <s v="Full-Time"/>
  </r>
  <r>
    <x v="80"/>
    <x v="8"/>
    <s v="Agent"/>
    <n v="40000"/>
    <n v="15000"/>
    <n v="25000"/>
    <n v="0.625"/>
    <n v="3"/>
    <n v="5"/>
    <x v="0"/>
    <x v="0"/>
    <n v="94"/>
    <n v="7"/>
    <n v="320"/>
    <n v="7900"/>
    <x v="70"/>
    <n v="290"/>
    <n v="3.6"/>
    <s v="No"/>
    <s v="Yes"/>
    <s v="Contract"/>
  </r>
  <r>
    <x v="81"/>
    <x v="8"/>
    <s v="Agent"/>
    <n v="39500"/>
    <n v="14500"/>
    <n v="25000"/>
    <n v="0.63291139240506333"/>
    <n v="3"/>
    <n v="5"/>
    <x v="0"/>
    <x v="0"/>
    <n v="85"/>
    <n v="14"/>
    <n v="810"/>
    <n v="20100"/>
    <x v="71"/>
    <n v="1110"/>
    <n v="4.5999999999999996"/>
    <s v="Yes"/>
    <s v="Yes"/>
    <s v="Full-Time"/>
  </r>
  <r>
    <x v="82"/>
    <x v="8"/>
    <s v="Agent"/>
    <n v="39000"/>
    <n v="14000"/>
    <n v="25000"/>
    <n v="0.64102564102564108"/>
    <n v="3"/>
    <n v="5"/>
    <x v="0"/>
    <x v="0"/>
    <n v="97"/>
    <n v="5"/>
    <n v="175"/>
    <n v="4700"/>
    <x v="72"/>
    <n v="145"/>
    <n v="3.1"/>
    <s v="No"/>
    <s v="No"/>
    <s v="Part-Time"/>
  </r>
  <r>
    <x v="83"/>
    <x v="8"/>
    <s v="Agent"/>
    <n v="38500"/>
    <n v="13500"/>
    <n v="25000"/>
    <n v="0.64935064935064934"/>
    <n v="4"/>
    <n v="5"/>
    <x v="0"/>
    <x v="0"/>
    <n v="91"/>
    <n v="18"/>
    <n v="1010"/>
    <n v="25200"/>
    <x v="73"/>
    <n v="1620"/>
    <n v="4.9000000000000004"/>
    <s v="Yes"/>
    <s v="Yes"/>
    <s v="Full-Time"/>
  </r>
  <r>
    <x v="84"/>
    <x v="8"/>
    <s v="Agent"/>
    <n v="38000"/>
    <n v="13000"/>
    <n v="25000"/>
    <n v="0.65789473684210531"/>
    <n v="4"/>
    <n v="5"/>
    <x v="0"/>
    <x v="0"/>
    <n v="89"/>
    <n v="9"/>
    <n v="540"/>
    <n v="12300"/>
    <x v="74"/>
    <n v="580"/>
    <n v="4"/>
    <s v="Yes"/>
    <s v="No"/>
    <s v="Full-Time"/>
  </r>
  <r>
    <x v="85"/>
    <x v="8"/>
    <s v="Agent"/>
    <n v="37500"/>
    <n v="12500"/>
    <n v="25000"/>
    <n v="0.66666666666666663"/>
    <n v="4"/>
    <n v="5"/>
    <x v="0"/>
    <x v="0"/>
    <n v="98"/>
    <n v="12"/>
    <n v="690"/>
    <n v="16900"/>
    <x v="75"/>
    <n v="900"/>
    <n v="4.3"/>
    <s v="Yes"/>
    <s v="Yes"/>
    <s v="Full-Time"/>
  </r>
  <r>
    <x v="86"/>
    <x v="8"/>
    <s v="Agent"/>
    <n v="37000"/>
    <n v="12000"/>
    <n v="25000"/>
    <n v="0.67567567567567566"/>
    <n v="4"/>
    <n v="6"/>
    <x v="0"/>
    <x v="0"/>
    <n v="86"/>
    <n v="6"/>
    <n v="260"/>
    <n v="6500"/>
    <x v="76"/>
    <n v="240"/>
    <n v="3.5"/>
    <s v="No"/>
    <s v="No"/>
    <s v="Contract"/>
  </r>
  <r>
    <x v="87"/>
    <x v="8"/>
    <s v="Agent"/>
    <n v="36500"/>
    <n v="11500"/>
    <n v="25000"/>
    <n v="0.68493150684931503"/>
    <n v="4"/>
    <n v="6"/>
    <x v="0"/>
    <x v="0"/>
    <n v="95"/>
    <n v="16"/>
    <n v="930"/>
    <n v="22900"/>
    <x v="77"/>
    <n v="1320"/>
    <n v="4.7"/>
    <s v="Yes"/>
    <s v="Yes"/>
    <s v="Full-Time"/>
  </r>
  <r>
    <x v="88"/>
    <x v="8"/>
    <s v="Agent"/>
    <n v="36000"/>
    <n v="11000"/>
    <n v="25000"/>
    <n v="0.69444444444444442"/>
    <n v="6"/>
    <n v="6"/>
    <x v="0"/>
    <x v="1"/>
    <n v="87"/>
    <n v="4"/>
    <n v="155"/>
    <n v="4200"/>
    <x v="78"/>
    <n v="125"/>
    <n v="3"/>
    <s v="No"/>
    <s v="No"/>
    <s v="Part-Time"/>
  </r>
  <r>
    <x v="89"/>
    <x v="8"/>
    <s v="Agent"/>
    <n v="35500"/>
    <n v="10500"/>
    <n v="25000"/>
    <n v="0.70422535211267601"/>
    <n v="5"/>
    <n v="4"/>
    <x v="0"/>
    <x v="1"/>
    <n v="100"/>
    <n v="19"/>
    <n v="1070"/>
    <n v="27200"/>
    <x v="79"/>
    <n v="1780"/>
    <n v="5"/>
    <s v="Yes"/>
    <s v="Yes"/>
    <s v="Full-Time"/>
  </r>
  <r>
    <x v="90"/>
    <x v="8"/>
    <s v="Agent"/>
    <n v="35000"/>
    <n v="10000"/>
    <n v="25000"/>
    <n v="0.7142857142857143"/>
    <n v="3"/>
    <n v="4"/>
    <x v="0"/>
    <x v="0"/>
    <n v="92"/>
    <n v="10"/>
    <n v="610"/>
    <n v="14600"/>
    <x v="80"/>
    <n v="740"/>
    <n v="4.2"/>
    <s v="Yes"/>
    <s v="No"/>
    <s v="Full-Time"/>
  </r>
  <r>
    <x v="91"/>
    <x v="8"/>
    <s v="Agent"/>
    <n v="34500"/>
    <n v="9500"/>
    <n v="25000"/>
    <n v="0.72463768115942029"/>
    <n v="2"/>
    <n v="4"/>
    <x v="0"/>
    <x v="0"/>
    <n v="84"/>
    <n v="8"/>
    <n v="410"/>
    <n v="9100"/>
    <x v="81"/>
    <n v="340"/>
    <n v="3.7"/>
    <s v="No"/>
    <s v="Yes"/>
    <s v="Contract"/>
  </r>
  <r>
    <x v="92"/>
    <x v="8"/>
    <s v="Agent"/>
    <n v="34000"/>
    <n v="9000"/>
    <n v="25000"/>
    <n v="0.73529411764705888"/>
    <n v="2"/>
    <n v="3"/>
    <x v="0"/>
    <x v="0"/>
    <n v="96"/>
    <n v="15"/>
    <n v="860"/>
    <n v="21200"/>
    <x v="82"/>
    <n v="1210"/>
    <n v="4.5999999999999996"/>
    <s v="Yes"/>
    <s v="Yes"/>
    <s v="Full-Time"/>
  </r>
  <r>
    <x v="93"/>
    <x v="8"/>
    <s v="Agent"/>
    <n v="33500"/>
    <n v="8500"/>
    <n v="25000"/>
    <n v="0.74626865671641796"/>
    <n v="2"/>
    <n v="2"/>
    <x v="0"/>
    <x v="0"/>
    <n v="90"/>
    <n v="3"/>
    <n v="145"/>
    <n v="4000"/>
    <x v="30"/>
    <n v="100"/>
    <n v="2.9"/>
    <s v="No"/>
    <s v="No"/>
    <s v="Part-Time"/>
  </r>
  <r>
    <x v="94"/>
    <x v="8"/>
    <s v="Agent"/>
    <n v="33000"/>
    <n v="8000"/>
    <n v="25000"/>
    <n v="0.75757575757575757"/>
    <n v="3"/>
    <n v="1"/>
    <x v="0"/>
    <x v="0"/>
    <n v="85"/>
    <n v="17"/>
    <n v="970"/>
    <n v="24300"/>
    <x v="83"/>
    <n v="1470"/>
    <n v="4.8"/>
    <s v="Yes"/>
    <s v="Yes"/>
    <s v="Full-Time"/>
  </r>
  <r>
    <x v="95"/>
    <x v="8"/>
    <s v="Agent"/>
    <n v="32500"/>
    <n v="7500"/>
    <n v="25000"/>
    <n v="0.76923076923076927"/>
    <n v="2"/>
    <n v="1"/>
    <x v="0"/>
    <x v="0"/>
    <n v="98"/>
    <n v="11"/>
    <n v="630"/>
    <n v="15700"/>
    <x v="84"/>
    <n v="830"/>
    <n v="4.3"/>
    <s v="Yes"/>
    <s v="No"/>
    <s v="Full-Time"/>
  </r>
  <r>
    <x v="96"/>
    <x v="8"/>
    <s v="Agent"/>
    <n v="32000"/>
    <n v="7000"/>
    <n v="25000"/>
    <n v="0.78125"/>
    <n v="3"/>
    <n v="1"/>
    <x v="0"/>
    <x v="0"/>
    <n v="88"/>
    <n v="7"/>
    <n v="330"/>
    <n v="8000"/>
    <x v="85"/>
    <n v="295"/>
    <n v="3.5"/>
    <s v="No"/>
    <s v="Yes"/>
    <s v="Contract"/>
  </r>
  <r>
    <x v="97"/>
    <x v="8"/>
    <s v="Agent"/>
    <n v="31500"/>
    <n v="6500"/>
    <n v="25000"/>
    <n v="0.79365079365079361"/>
    <n v="2"/>
    <n v="1"/>
    <x v="0"/>
    <x v="0"/>
    <n v="94"/>
    <n v="14"/>
    <n v="820"/>
    <n v="20300"/>
    <x v="86"/>
    <n v="1120"/>
    <n v="4.5999999999999996"/>
    <s v="Yes"/>
    <s v="Yes"/>
    <s v="Full-Time"/>
  </r>
  <r>
    <x v="98"/>
    <x v="8"/>
    <s v="Agent"/>
    <n v="31000"/>
    <n v="6000"/>
    <n v="25000"/>
    <n v="0.80645161290322576"/>
    <n v="2"/>
    <n v="1"/>
    <x v="0"/>
    <x v="0"/>
    <n v="91"/>
    <n v="5"/>
    <n v="185"/>
    <n v="4900"/>
    <x v="87"/>
    <n v="155"/>
    <n v="3.2"/>
    <s v="No"/>
    <s v="No"/>
    <s v="Part-Time"/>
  </r>
  <r>
    <x v="99"/>
    <x v="8"/>
    <s v="Agent"/>
    <n v="30500"/>
    <n v="5500"/>
    <n v="25000"/>
    <n v="0.81967213114754101"/>
    <n v="2"/>
    <n v="1"/>
    <x v="0"/>
    <x v="0"/>
    <n v="88"/>
    <n v="8"/>
    <n v="450"/>
    <n v="5700"/>
    <x v="58"/>
    <n v="200"/>
    <n v="5.0999999999999996"/>
    <s v="No"/>
    <s v="Yes"/>
    <s v="Part-Time"/>
  </r>
  <r>
    <x v="100"/>
    <x v="9"/>
    <m/>
    <m/>
    <m/>
    <m/>
    <m/>
    <m/>
    <m/>
    <x v="3"/>
    <x v="3"/>
    <m/>
    <m/>
    <m/>
    <m/>
    <x v="88"/>
    <m/>
    <m/>
    <m/>
    <m/>
    <m/>
  </r>
  <r>
    <x v="101"/>
    <x v="10"/>
    <m/>
    <m/>
    <m/>
    <m/>
    <m/>
    <m/>
    <m/>
    <x v="3"/>
    <x v="3"/>
    <m/>
    <m/>
    <m/>
    <m/>
    <x v="88"/>
    <m/>
    <m/>
    <m/>
    <m/>
    <m/>
  </r>
  <r>
    <x v="102"/>
    <x v="11"/>
    <m/>
    <m/>
    <m/>
    <m/>
    <m/>
    <m/>
    <m/>
    <x v="3"/>
    <x v="3"/>
    <m/>
    <m/>
    <m/>
    <m/>
    <x v="88"/>
    <m/>
    <m/>
    <m/>
    <m/>
    <m/>
  </r>
  <r>
    <x v="103"/>
    <x v="12"/>
    <m/>
    <m/>
    <m/>
    <m/>
    <m/>
    <m/>
    <m/>
    <x v="3"/>
    <x v="3"/>
    <m/>
    <m/>
    <m/>
    <m/>
    <x v="88"/>
    <m/>
    <m/>
    <m/>
    <m/>
    <m/>
  </r>
  <r>
    <x v="104"/>
    <x v="13"/>
    <m/>
    <m/>
    <m/>
    <m/>
    <m/>
    <m/>
    <m/>
    <x v="3"/>
    <x v="3"/>
    <m/>
    <m/>
    <m/>
    <m/>
    <x v="88"/>
    <m/>
    <m/>
    <m/>
    <m/>
    <m/>
  </r>
  <r>
    <x v="105"/>
    <x v="14"/>
    <m/>
    <m/>
    <m/>
    <m/>
    <m/>
    <m/>
    <m/>
    <x v="3"/>
    <x v="3"/>
    <m/>
    <m/>
    <m/>
    <m/>
    <x v="88"/>
    <m/>
    <m/>
    <m/>
    <m/>
    <m/>
  </r>
  <r>
    <x v="106"/>
    <x v="15"/>
    <m/>
    <m/>
    <m/>
    <m/>
    <m/>
    <m/>
    <m/>
    <x v="3"/>
    <x v="3"/>
    <m/>
    <m/>
    <m/>
    <m/>
    <x v="88"/>
    <m/>
    <m/>
    <m/>
    <m/>
    <m/>
  </r>
  <r>
    <x v="107"/>
    <x v="16"/>
    <m/>
    <m/>
    <m/>
    <m/>
    <m/>
    <m/>
    <m/>
    <x v="3"/>
    <x v="3"/>
    <m/>
    <m/>
    <m/>
    <m/>
    <x v="88"/>
    <m/>
    <m/>
    <m/>
    <m/>
    <m/>
  </r>
  <r>
    <x v="108"/>
    <x v="17"/>
    <m/>
    <m/>
    <m/>
    <m/>
    <m/>
    <m/>
    <m/>
    <x v="3"/>
    <x v="3"/>
    <m/>
    <m/>
    <m/>
    <m/>
    <x v="88"/>
    <m/>
    <m/>
    <m/>
    <m/>
    <m/>
  </r>
  <r>
    <x v="109"/>
    <x v="18"/>
    <m/>
    <m/>
    <m/>
    <m/>
    <m/>
    <m/>
    <m/>
    <x v="3"/>
    <x v="3"/>
    <m/>
    <m/>
    <m/>
    <m/>
    <x v="88"/>
    <m/>
    <m/>
    <m/>
    <m/>
    <m/>
  </r>
  <r>
    <x v="110"/>
    <x v="9"/>
    <m/>
    <m/>
    <m/>
    <m/>
    <m/>
    <m/>
    <m/>
    <x v="3"/>
    <x v="3"/>
    <m/>
    <m/>
    <m/>
    <m/>
    <x v="88"/>
    <m/>
    <m/>
    <m/>
    <m/>
    <m/>
  </r>
  <r>
    <x v="111"/>
    <x v="19"/>
    <m/>
    <m/>
    <m/>
    <m/>
    <m/>
    <m/>
    <m/>
    <x v="3"/>
    <x v="3"/>
    <m/>
    <m/>
    <m/>
    <m/>
    <x v="88"/>
    <m/>
    <m/>
    <m/>
    <m/>
    <m/>
  </r>
  <r>
    <x v="112"/>
    <x v="20"/>
    <m/>
    <m/>
    <m/>
    <m/>
    <m/>
    <m/>
    <m/>
    <x v="3"/>
    <x v="3"/>
    <m/>
    <m/>
    <m/>
    <m/>
    <x v="88"/>
    <m/>
    <m/>
    <m/>
    <m/>
    <m/>
  </r>
  <r>
    <x v="113"/>
    <x v="21"/>
    <m/>
    <m/>
    <m/>
    <m/>
    <m/>
    <m/>
    <m/>
    <x v="3"/>
    <x v="3"/>
    <m/>
    <m/>
    <m/>
    <m/>
    <x v="88"/>
    <m/>
    <m/>
    <m/>
    <m/>
    <m/>
  </r>
  <r>
    <x v="114"/>
    <x v="22"/>
    <m/>
    <m/>
    <m/>
    <m/>
    <m/>
    <m/>
    <m/>
    <x v="3"/>
    <x v="3"/>
    <m/>
    <m/>
    <m/>
    <m/>
    <x v="88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القيم" updatedVersion="4" minRefreshableVersion="3" useAutoFormatting="1" itemPrintTitles="1" createdVersion="4" indent="0" outline="1" outlineData="1" multipleFieldFilters="0">
  <location ref="A3:B27" firstHeaderRow="1" firstDataRow="1" firstDataCol="1"/>
  <pivotFields count="21">
    <pivotField dataField="1" showAll="0">
      <items count="1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9"/>
        <item x="112"/>
        <item x="102"/>
        <item x="105"/>
        <item x="110"/>
        <item x="113"/>
        <item x="107"/>
        <item x="103"/>
        <item x="111"/>
        <item x="108"/>
        <item x="104"/>
        <item x="114"/>
        <item x="100"/>
        <item x="106"/>
        <item x="101"/>
        <item t="default"/>
      </items>
    </pivotField>
    <pivotField axis="axisRow" showAll="0">
      <items count="24">
        <item x="11"/>
        <item x="20"/>
        <item x="21"/>
        <item x="19"/>
        <item x="18"/>
        <item x="9"/>
        <item x="17"/>
        <item x="13"/>
        <item x="14"/>
        <item x="16"/>
        <item x="12"/>
        <item x="22"/>
        <item x="15"/>
        <item x="10"/>
        <item x="7"/>
        <item x="0"/>
        <item x="2"/>
        <item x="3"/>
        <item x="1"/>
        <item x="6"/>
        <item x="4"/>
        <item x="5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0">
        <item x="44"/>
        <item x="22"/>
        <item x="68"/>
        <item x="30"/>
        <item x="37"/>
        <item x="78"/>
        <item x="58"/>
        <item x="18"/>
        <item x="49"/>
        <item x="72"/>
        <item x="34"/>
        <item x="87"/>
        <item x="61"/>
        <item x="27"/>
        <item x="52"/>
        <item x="66"/>
        <item x="40"/>
        <item x="76"/>
        <item x="42"/>
        <item x="70"/>
        <item x="85"/>
        <item x="56"/>
        <item x="16"/>
        <item x="25"/>
        <item x="81"/>
        <item x="47"/>
        <item x="63"/>
        <item x="36"/>
        <item x="15"/>
        <item x="20"/>
        <item x="60"/>
        <item x="74"/>
        <item x="29"/>
        <item x="51"/>
        <item x="65"/>
        <item x="69"/>
        <item x="46"/>
        <item x="84"/>
        <item x="80"/>
        <item x="24"/>
        <item x="33"/>
        <item x="21"/>
        <item x="75"/>
        <item x="55"/>
        <item x="14"/>
        <item x="43"/>
        <item x="62"/>
        <item x="17"/>
        <item x="26"/>
        <item x="48"/>
        <item x="39"/>
        <item x="71"/>
        <item x="86"/>
        <item x="82"/>
        <item x="67"/>
        <item x="31"/>
        <item x="53"/>
        <item x="23"/>
        <item x="35"/>
        <item x="77"/>
        <item x="57"/>
        <item x="28"/>
        <item x="83"/>
        <item x="50"/>
        <item x="19"/>
        <item x="73"/>
        <item x="41"/>
        <item x="59"/>
        <item x="32"/>
        <item x="54"/>
        <item x="79"/>
        <item x="45"/>
        <item x="64"/>
        <item x="38"/>
        <item x="8"/>
        <item x="4"/>
        <item x="3"/>
        <item x="12"/>
        <item x="2"/>
        <item x="11"/>
        <item x="7"/>
        <item x="1"/>
        <item x="6"/>
        <item x="0"/>
        <item x="10"/>
        <item x="5"/>
        <item x="13"/>
        <item x="9"/>
        <item x="88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عدد من 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القيم" updatedVersion="4" minRefreshableVersion="3" useAutoFormatting="1" itemPrintTitles="1" createdVersion="4" indent="0" outline="1" outlineData="1" multipleFieldFilters="0">
  <location ref="A3:B27" firstHeaderRow="1" firstDataRow="1" firstDataCol="1"/>
  <pivotFields count="21">
    <pivotField showAll="0"/>
    <pivotField axis="axisRow" showAll="0">
      <items count="24">
        <item x="11"/>
        <item x="20"/>
        <item x="21"/>
        <item x="19"/>
        <item x="18"/>
        <item x="9"/>
        <item x="17"/>
        <item x="13"/>
        <item x="14"/>
        <item x="16"/>
        <item x="12"/>
        <item x="22"/>
        <item x="15"/>
        <item x="10"/>
        <item x="7"/>
        <item x="0"/>
        <item x="2"/>
        <item x="3"/>
        <item x="1"/>
        <item x="6"/>
        <item x="4"/>
        <item x="5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مجموع من Cost to Company" fld="1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القيم" updatedVersion="4" minRefreshableVersion="3" useAutoFormatting="1" itemPrintTitles="1" createdVersion="4" indent="0" outline="1" outlineData="1" multipleFieldFilters="0">
  <location ref="A3:B27" firstHeaderRow="1" firstDataRow="1" firstDataCol="1"/>
  <pivotFields count="21">
    <pivotField showAll="0"/>
    <pivotField axis="axisRow" showAll="0">
      <items count="24">
        <item x="11"/>
        <item x="20"/>
        <item x="21"/>
        <item x="19"/>
        <item x="18"/>
        <item x="9"/>
        <item x="17"/>
        <item x="13"/>
        <item x="14"/>
        <item x="16"/>
        <item x="12"/>
        <item x="22"/>
        <item x="15"/>
        <item x="10"/>
        <item x="7"/>
        <item x="0"/>
        <item x="2"/>
        <item x="3"/>
        <item x="1"/>
        <item x="6"/>
        <item x="4"/>
        <item x="5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مجموع من Monthly Revenue Generated" fld="14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القيم" updatedVersion="4" minRefreshableVersion="3" useAutoFormatting="1" itemPrintTitles="1" createdVersion="4" indent="0" outline="1" outlineData="1" multipleFieldFilters="0">
  <location ref="A3:B27" firstHeaderRow="1" firstDataRow="1" firstDataCol="1"/>
  <pivotFields count="21">
    <pivotField showAll="0"/>
    <pivotField axis="axisRow" showAll="0">
      <items count="24">
        <item x="11"/>
        <item x="20"/>
        <item x="21"/>
        <item x="19"/>
        <item x="18"/>
        <item x="9"/>
        <item x="17"/>
        <item x="13"/>
        <item x="14"/>
        <item x="16"/>
        <item x="12"/>
        <item x="22"/>
        <item x="15"/>
        <item x="10"/>
        <item x="7"/>
        <item x="0"/>
        <item x="2"/>
        <item x="3"/>
        <item x="1"/>
        <item x="6"/>
        <item x="4"/>
        <item x="5"/>
        <item x="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مجموع من Savings" fld="5" baseField="1" baseItem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القيم" updatedVersion="4" minRefreshableVersion="3" useAutoFormatting="1" itemPrintTitles="1" createdVersion="4" indent="0" outline="1" outlineData="1" multipleFieldFilters="0">
  <location ref="A3:C4" firstHeaderRow="0" firstDataRow="1" firstDataCol="0"/>
  <pivotFields count="21">
    <pivotField showAll="0">
      <items count="1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9"/>
        <item x="112"/>
        <item x="102"/>
        <item x="105"/>
        <item x="110"/>
        <item x="113"/>
        <item x="107"/>
        <item x="103"/>
        <item x="111"/>
        <item x="108"/>
        <item x="104"/>
        <item x="114"/>
        <item x="100"/>
        <item x="106"/>
        <item x="10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مجموع من Current Salary" fld="3" baseField="0" baseItem="14150888"/>
    <dataField name="مجموع من Proposed Salary" fld="4" baseField="0" baseItem="1"/>
    <dataField name="مجموع من Savings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القيم" updatedVersion="4" minRefreshableVersion="3" useAutoFormatting="1" itemPrintTitles="1" createdVersion="4" indent="0" outline="1" outlineData="1" multipleFieldFilters="0" chartFormat="1">
  <location ref="A3:B119" firstHeaderRow="1" firstDataRow="1" firstDataCol="1"/>
  <pivotFields count="21">
    <pivotField axis="axisRow" showAll="0">
      <items count="1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9"/>
        <item x="112"/>
        <item x="102"/>
        <item x="105"/>
        <item x="110"/>
        <item x="113"/>
        <item x="107"/>
        <item x="103"/>
        <item x="111"/>
        <item x="108"/>
        <item x="104"/>
        <item x="114"/>
        <item x="100"/>
        <item x="106"/>
        <item x="10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 t="grand">
      <x/>
    </i>
  </rowItems>
  <colItems count="1">
    <i/>
  </colItems>
  <dataFields count="1">
    <dataField name="مجموع من Saving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القيم" updatedVersion="4" minRefreshableVersion="3" useAutoFormatting="1" itemPrintTitles="1" createdVersion="4" indent="0" outline="1" outlineData="1" multipleFieldFilters="0" chartFormat="1">
  <location ref="A3:B27" firstHeaderRow="1" firstDataRow="1" firstDataCol="1"/>
  <pivotFields count="21">
    <pivotField showAll="0"/>
    <pivotField axis="axisRow" showAll="0">
      <items count="24">
        <item x="11"/>
        <item x="20"/>
        <item x="21"/>
        <item x="19"/>
        <item x="18"/>
        <item x="9"/>
        <item x="17"/>
        <item x="13"/>
        <item x="14"/>
        <item x="16"/>
        <item x="12"/>
        <item x="22"/>
        <item x="15"/>
        <item x="10"/>
        <item x="7"/>
        <item x="0"/>
        <item x="2"/>
        <item x="3"/>
        <item x="1"/>
        <item x="6"/>
        <item x="4"/>
        <item x="5"/>
        <item x="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متوسط من % Reduction" fld="6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القيم" updatedVersion="4" minRefreshableVersion="3" useAutoFormatting="1" itemPrintTitles="1" createdVersion="4" indent="0" outline="1" outlineData="1" multipleFieldFilters="0" chartFormat="1">
  <location ref="A3:B27" firstHeaderRow="1" firstDataRow="1" firstDataCol="1"/>
  <pivotFields count="21">
    <pivotField showAll="0"/>
    <pivotField axis="axisRow" showAll="0">
      <items count="24">
        <item x="11"/>
        <item x="20"/>
        <item x="21"/>
        <item x="19"/>
        <item x="18"/>
        <item x="9"/>
        <item x="17"/>
        <item x="13"/>
        <item x="14"/>
        <item x="16"/>
        <item x="12"/>
        <item x="22"/>
        <item x="15"/>
        <item x="10"/>
        <item x="7"/>
        <item x="0"/>
        <item x="2"/>
        <item x="3"/>
        <item x="1"/>
        <item x="6"/>
        <item x="4"/>
        <item x="5"/>
        <item x="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مجموع من Savings" fld="5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القيم" updatedVersion="4" minRefreshableVersion="3" useAutoFormatting="1" itemPrintTitles="1" createdVersion="4" indent="0" outline="1" outlineData="1" multipleFieldFilters="0" chartFormat="1">
  <location ref="A3:B27" firstHeaderRow="1" firstDataRow="1" firstDataCol="1"/>
  <pivotFields count="21">
    <pivotField dataField="1" showAll="0"/>
    <pivotField axis="axisRow" showAll="0">
      <items count="24">
        <item x="11"/>
        <item x="20"/>
        <item x="21"/>
        <item x="19"/>
        <item x="18"/>
        <item x="9"/>
        <item x="17"/>
        <item x="13"/>
        <item x="14"/>
        <item x="16"/>
        <item x="12"/>
        <item x="22"/>
        <item x="15"/>
        <item x="10"/>
        <item x="7"/>
        <item x="0"/>
        <item x="2"/>
        <item x="3"/>
        <item x="1"/>
        <item x="6"/>
        <item x="4"/>
        <item x="5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عدد من ID" fld="0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القيم" updatedVersion="4" minRefreshableVersion="3" useAutoFormatting="1" itemPrintTitles="1" createdVersion="4" indent="0" outline="1" outlineData="1" multipleFieldFilters="0" chartFormat="1">
  <location ref="A3:C27" firstHeaderRow="0" firstDataRow="1" firstDataCol="1"/>
  <pivotFields count="21">
    <pivotField showAll="0"/>
    <pivotField axis="axisRow" showAll="0">
      <items count="24">
        <item x="11"/>
        <item x="20"/>
        <item x="21"/>
        <item x="19"/>
        <item x="18"/>
        <item x="9"/>
        <item x="17"/>
        <item x="13"/>
        <item x="14"/>
        <item x="16"/>
        <item x="12"/>
        <item x="22"/>
        <item x="15"/>
        <item x="10"/>
        <item x="7"/>
        <item x="0"/>
        <item x="2"/>
        <item x="3"/>
        <item x="1"/>
        <item x="6"/>
        <item x="4"/>
        <item x="5"/>
        <item x="8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مجموع من Current Salary" fld="3" baseField="1" baseItem="0"/>
    <dataField name="مجموع من Proposed Salary" fld="4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القيم" updatedVersion="4" minRefreshableVersion="3" useAutoFormatting="1" itemPrintTitles="1" createdVersion="4" indent="0" outline="1" outlineData="1" multipleFieldFilters="0" chartFormat="1">
  <location ref="A3:B8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عدد من ID" fld="0" subtotal="count" baseField="1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القيم" updatedVersion="4" minRefreshableVersion="3" useAutoFormatting="1" itemPrintTitles="1" createdVersion="4" indent="0" outline="1" outlineData="1" multipleFieldFilters="0" chartFormat="1">
  <location ref="A3:B27" firstHeaderRow="1" firstDataRow="1" firstDataCol="1"/>
  <pivotFields count="21">
    <pivotField showAll="0"/>
    <pivotField axis="axisRow" showAll="0">
      <items count="24">
        <item x="11"/>
        <item x="20"/>
        <item x="21"/>
        <item x="19"/>
        <item x="18"/>
        <item x="9"/>
        <item x="17"/>
        <item x="13"/>
        <item x="14"/>
        <item x="16"/>
        <item x="12"/>
        <item x="22"/>
        <item x="15"/>
        <item x="10"/>
        <item x="7"/>
        <item x="0"/>
        <item x="2"/>
        <item x="3"/>
        <item x="1"/>
        <item x="6"/>
        <item x="4"/>
        <item x="5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عدد من Performance Score" fld="7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القيم" updatedVersion="4" minRefreshableVersion="3" useAutoFormatting="1" itemPrintTitles="1" createdVersion="4" indent="0" outline="1" outlineData="1" multipleFieldFilters="0" chartFormat="1">
  <location ref="A3:B8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عدد من ID" fld="0" subtotal="count" baseField="9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القيم" updatedVersion="4" minRefreshableVersion="3" useAutoFormatting="1" itemPrintTitles="1" createdVersion="4" indent="0" outline="1" outlineData="1" multipleFieldFilters="0" chartFormat="1">
  <location ref="A3:C27" firstHeaderRow="0" firstDataRow="1" firstDataCol="1"/>
  <pivotFields count="21">
    <pivotField showAll="0"/>
    <pivotField axis="axisRow" showAll="0">
      <items count="24">
        <item x="11"/>
        <item x="20"/>
        <item x="21"/>
        <item x="19"/>
        <item x="18"/>
        <item x="9"/>
        <item x="17"/>
        <item x="13"/>
        <item x="14"/>
        <item x="16"/>
        <item x="12"/>
        <item x="22"/>
        <item x="15"/>
        <item x="10"/>
        <item x="7"/>
        <item x="0"/>
        <item x="2"/>
        <item x="3"/>
        <item x="1"/>
        <item x="6"/>
        <item x="4"/>
        <item x="5"/>
        <item x="8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مجموع من Current Salary" fld="3" baseField="1" baseItem="0"/>
    <dataField name="مجموع من Proposed Salary" fld="4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2" cacheId="1" applyNumberFormats="0" applyBorderFormats="0" applyFontFormats="0" applyPatternFormats="0" applyAlignmentFormats="0" applyWidthHeightFormats="1" dataCaption="القيم" updatedVersion="4" minRefreshableVersion="3" useAutoFormatting="1" itemPrintTitles="1" createdVersion="4" indent="0" outline="1" outlineData="1" multipleFieldFilters="0" chartFormat="1">
  <location ref="A3:B27" firstHeaderRow="1" firstDataRow="1" firstDataCol="1"/>
  <pivotFields count="21">
    <pivotField dataField="1" showAll="0"/>
    <pivotField axis="axisRow" showAll="0">
      <items count="24">
        <item x="11"/>
        <item x="20"/>
        <item x="21"/>
        <item x="19"/>
        <item x="18"/>
        <item x="9"/>
        <item x="17"/>
        <item x="13"/>
        <item x="14"/>
        <item x="16"/>
        <item x="12"/>
        <item x="22"/>
        <item x="15"/>
        <item x="10"/>
        <item x="7"/>
        <item x="0"/>
        <item x="2"/>
        <item x="3"/>
        <item x="1"/>
        <item x="6"/>
        <item x="4"/>
        <item x="5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عدد من ID" fld="0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13" cacheId="1" applyNumberFormats="0" applyBorderFormats="0" applyFontFormats="0" applyPatternFormats="0" applyAlignmentFormats="0" applyWidthHeightFormats="1" dataCaption="القيم" updatedVersion="4" minRefreshableVersion="3" useAutoFormatting="1" itemPrintTitles="1" createdVersion="4" indent="0" outline="1" outlineData="1" multipleFieldFilters="0" chartFormat="1">
  <location ref="A3:B27" firstHeaderRow="1" firstDataRow="1" firstDataCol="1"/>
  <pivotFields count="21">
    <pivotField showAll="0"/>
    <pivotField axis="axisRow" showAll="0">
      <items count="24">
        <item x="11"/>
        <item x="20"/>
        <item x="21"/>
        <item x="19"/>
        <item x="18"/>
        <item x="9"/>
        <item x="17"/>
        <item x="13"/>
        <item x="14"/>
        <item x="16"/>
        <item x="12"/>
        <item x="22"/>
        <item x="15"/>
        <item x="10"/>
        <item x="7"/>
        <item x="0"/>
        <item x="2"/>
        <item x="3"/>
        <item x="1"/>
        <item x="6"/>
        <item x="4"/>
        <item x="5"/>
        <item x="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مجموع من Savings" fld="5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14" cacheId="1" applyNumberFormats="0" applyBorderFormats="0" applyFontFormats="0" applyPatternFormats="0" applyAlignmentFormats="0" applyWidthHeightFormats="1" dataCaption="القيم" updatedVersion="4" minRefreshableVersion="3" useAutoFormatting="1" itemPrintTitles="1" createdVersion="4" indent="0" outline="1" outlineData="1" multipleFieldFilters="0" chartFormat="1">
  <location ref="A3:B27" firstHeaderRow="1" firstDataRow="1" firstDataCol="1"/>
  <pivotFields count="21">
    <pivotField showAll="0"/>
    <pivotField axis="axisRow" showAll="0">
      <items count="24">
        <item x="11"/>
        <item x="20"/>
        <item x="21"/>
        <item x="19"/>
        <item x="18"/>
        <item x="9"/>
        <item x="17"/>
        <item x="13"/>
        <item x="14"/>
        <item x="16"/>
        <item x="12"/>
        <item x="22"/>
        <item x="15"/>
        <item x="10"/>
        <item x="7"/>
        <item x="0"/>
        <item x="2"/>
        <item x="3"/>
        <item x="1"/>
        <item x="6"/>
        <item x="4"/>
        <item x="5"/>
        <item x="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متوسط من % Reduction" fld="6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15" cacheId="1" applyNumberFormats="0" applyBorderFormats="0" applyFontFormats="0" applyPatternFormats="0" applyAlignmentFormats="0" applyWidthHeightFormats="1" dataCaption="القيم" updatedVersion="4" minRefreshableVersion="3" useAutoFormatting="1" itemPrintTitles="1" createdVersion="4" indent="0" outline="1" outlineData="1" multipleFieldFilters="0" chartFormat="1">
  <location ref="A3:B119" firstHeaderRow="1" firstDataRow="1" firstDataCol="1"/>
  <pivotFields count="21">
    <pivotField axis="axisRow" showAll="0">
      <items count="1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9"/>
        <item x="112"/>
        <item x="102"/>
        <item x="105"/>
        <item x="110"/>
        <item x="113"/>
        <item x="107"/>
        <item x="103"/>
        <item x="111"/>
        <item x="108"/>
        <item x="104"/>
        <item x="114"/>
        <item x="100"/>
        <item x="106"/>
        <item x="10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 t="grand">
      <x/>
    </i>
  </rowItems>
  <colItems count="1">
    <i/>
  </colItems>
  <dataFields count="1">
    <dataField name="مجموع من Saving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الجدول1" displayName="الجدول1" ref="A1:Z116" totalsRowShown="0" headerRowDxfId="27" dataDxfId="26">
  <autoFilter ref="A1:Z116"/>
  <tableColumns count="26">
    <tableColumn id="1" name="ID" dataDxfId="25"/>
    <tableColumn id="2" name="Department" dataDxfId="24"/>
    <tableColumn id="3" name="Position" dataDxfId="23"/>
    <tableColumn id="4" name="Current Salary" dataDxfId="22"/>
    <tableColumn id="5" name="Proposed Salary" dataDxfId="21"/>
    <tableColumn id="6" name="Savings" dataDxfId="20">
      <calculatedColumnFormula>D2-E2</calculatedColumnFormula>
    </tableColumn>
    <tableColumn id="7" name="% Reduction" dataDxfId="19">
      <calculatedColumnFormula>(D2-E2)/D2</calculatedColumnFormula>
    </tableColumn>
    <tableColumn id="8" name="Performance Score" dataDxfId="18"/>
    <tableColumn id="9" name="Years of Service" dataDxfId="17"/>
    <tableColumn id="10" name="Risk Level" dataDxfId="16"/>
    <tableColumn id="11" name="Recommendation" dataDxfId="15"/>
    <tableColumn id="12" name="Attendance Rate %" dataDxfId="14"/>
    <tableColumn id="13" name="Overtime Hours" dataDxfId="13"/>
    <tableColumn id="14" name="Training Cost" dataDxfId="12"/>
    <tableColumn id="15" name="Monthly Revenue Generated" dataDxfId="11"/>
    <tableColumn id="16" name="Cost to Company" dataDxfId="10"/>
    <tableColumn id="17" name="Bonus Amount" dataDxfId="9"/>
    <tableColumn id="18" name="Manager Rating" dataDxfId="8"/>
    <tableColumn id="19" name="Promotion Eligible" dataDxfId="7"/>
    <tableColumn id="20" name="Remote Work" dataDxfId="6"/>
    <tableColumn id="21" name="Employment Type" dataDxfId="5"/>
    <tableColumn id="22" name="Job Satisfaction" dataDxfId="4"/>
    <tableColumn id="23" name="Absent Days" dataDxfId="3"/>
    <tableColumn id="24" name="Projects Completed" dataDxfId="2"/>
    <tableColumn id="25" name="Customer Rating" dataDxfId="1"/>
    <tableColumn id="26" name="Workload Lev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7"/>
  <sheetViews>
    <sheetView topLeftCell="A3" workbookViewId="0">
      <selection activeCell="A3" sqref="A3"/>
    </sheetView>
  </sheetViews>
  <sheetFormatPr defaultRowHeight="15" x14ac:dyDescent="0.25"/>
  <cols>
    <col min="1" max="1" width="16.28515625" customWidth="1"/>
    <col min="2" max="2" width="9" customWidth="1"/>
  </cols>
  <sheetData>
    <row r="3" spans="1:2" x14ac:dyDescent="0.25">
      <c r="A3" s="5" t="s">
        <v>74</v>
      </c>
      <c r="B3" t="s">
        <v>78</v>
      </c>
    </row>
    <row r="4" spans="1:2" x14ac:dyDescent="0.25">
      <c r="A4" s="6">
        <v>0.4780929265184547</v>
      </c>
      <c r="B4" s="7">
        <v>1</v>
      </c>
    </row>
    <row r="5" spans="1:2" x14ac:dyDescent="0.25">
      <c r="A5" s="6">
        <v>4.7640000000000002</v>
      </c>
      <c r="B5" s="7">
        <v>1</v>
      </c>
    </row>
    <row r="6" spans="1:2" x14ac:dyDescent="0.25">
      <c r="A6" s="6">
        <v>10</v>
      </c>
      <c r="B6" s="7">
        <v>1</v>
      </c>
    </row>
    <row r="7" spans="1:2" x14ac:dyDescent="0.25">
      <c r="A7" s="6">
        <v>44</v>
      </c>
      <c r="B7" s="7">
        <v>1</v>
      </c>
    </row>
    <row r="8" spans="1:2" x14ac:dyDescent="0.25">
      <c r="A8" s="6">
        <v>90.78</v>
      </c>
      <c r="B8" s="7">
        <v>1</v>
      </c>
    </row>
    <row r="9" spans="1:2" x14ac:dyDescent="0.25">
      <c r="A9" s="6">
        <v>100</v>
      </c>
      <c r="B9" s="7">
        <v>2</v>
      </c>
    </row>
    <row r="10" spans="1:2" x14ac:dyDescent="0.25">
      <c r="A10" s="6">
        <v>3200</v>
      </c>
      <c r="B10" s="7">
        <v>1</v>
      </c>
    </row>
    <row r="11" spans="1:2" x14ac:dyDescent="0.25">
      <c r="A11" s="6">
        <v>30500</v>
      </c>
      <c r="B11" s="7">
        <v>1</v>
      </c>
    </row>
    <row r="12" spans="1:2" x14ac:dyDescent="0.25">
      <c r="A12" s="6">
        <v>63230</v>
      </c>
      <c r="B12" s="7">
        <v>1</v>
      </c>
    </row>
    <row r="13" spans="1:2" x14ac:dyDescent="0.25">
      <c r="A13" s="6">
        <v>95000</v>
      </c>
      <c r="B13" s="7">
        <v>1</v>
      </c>
    </row>
    <row r="14" spans="1:2" x14ac:dyDescent="0.25">
      <c r="A14" s="6">
        <v>250000</v>
      </c>
      <c r="B14" s="7">
        <v>1</v>
      </c>
    </row>
    <row r="15" spans="1:2" x14ac:dyDescent="0.25">
      <c r="A15" s="6">
        <v>1793780</v>
      </c>
      <c r="B15" s="7">
        <v>1</v>
      </c>
    </row>
    <row r="16" spans="1:2" x14ac:dyDescent="0.25">
      <c r="A16" s="6">
        <v>2682000</v>
      </c>
      <c r="B16" s="7">
        <v>1</v>
      </c>
    </row>
    <row r="17" spans="1:2" x14ac:dyDescent="0.25">
      <c r="A17" s="6">
        <v>2703000</v>
      </c>
      <c r="B17" s="7">
        <v>1</v>
      </c>
    </row>
    <row r="18" spans="1:2" x14ac:dyDescent="0.25">
      <c r="A18" s="6" t="s">
        <v>28</v>
      </c>
      <c r="B18" s="7">
        <v>10</v>
      </c>
    </row>
    <row r="19" spans="1:2" x14ac:dyDescent="0.25">
      <c r="A19" s="6" t="s">
        <v>2</v>
      </c>
      <c r="B19" s="7">
        <v>3</v>
      </c>
    </row>
    <row r="20" spans="1:2" x14ac:dyDescent="0.25">
      <c r="A20" s="6" t="s">
        <v>9</v>
      </c>
      <c r="B20" s="7">
        <v>11</v>
      </c>
    </row>
    <row r="21" spans="1:2" x14ac:dyDescent="0.25">
      <c r="A21" s="6" t="s">
        <v>7</v>
      </c>
      <c r="B21" s="7">
        <v>11</v>
      </c>
    </row>
    <row r="22" spans="1:2" x14ac:dyDescent="0.25">
      <c r="A22" s="6" t="s">
        <v>6</v>
      </c>
      <c r="B22" s="7">
        <v>15</v>
      </c>
    </row>
    <row r="23" spans="1:2" x14ac:dyDescent="0.25">
      <c r="A23" s="6" t="s">
        <v>13</v>
      </c>
      <c r="B23" s="7">
        <v>10</v>
      </c>
    </row>
    <row r="24" spans="1:2" x14ac:dyDescent="0.25">
      <c r="A24" s="6" t="s">
        <v>10</v>
      </c>
      <c r="B24" s="7">
        <v>9</v>
      </c>
    </row>
    <row r="25" spans="1:2" x14ac:dyDescent="0.25">
      <c r="A25" s="6" t="s">
        <v>11</v>
      </c>
      <c r="B25" s="7">
        <v>11</v>
      </c>
    </row>
    <row r="26" spans="1:2" x14ac:dyDescent="0.25">
      <c r="A26" s="6" t="s">
        <v>30</v>
      </c>
      <c r="B26" s="7">
        <v>20</v>
      </c>
    </row>
    <row r="27" spans="1:2" x14ac:dyDescent="0.25">
      <c r="A27" s="6" t="s">
        <v>75</v>
      </c>
      <c r="B27" s="7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7"/>
  <sheetViews>
    <sheetView topLeftCell="A3" workbookViewId="0">
      <selection activeCell="A3" sqref="A3"/>
    </sheetView>
  </sheetViews>
  <sheetFormatPr defaultRowHeight="15" x14ac:dyDescent="0.25"/>
  <cols>
    <col min="1" max="1" width="16.28515625" bestFit="1" customWidth="1"/>
    <col min="2" max="2" width="24.5703125" bestFit="1" customWidth="1"/>
  </cols>
  <sheetData>
    <row r="3" spans="1:2" x14ac:dyDescent="0.25">
      <c r="A3" s="5" t="s">
        <v>74</v>
      </c>
      <c r="B3" t="s">
        <v>76</v>
      </c>
    </row>
    <row r="4" spans="1:2" x14ac:dyDescent="0.25">
      <c r="A4" s="6">
        <v>0.4780929265184547</v>
      </c>
      <c r="B4" s="7"/>
    </row>
    <row r="5" spans="1:2" x14ac:dyDescent="0.25">
      <c r="A5" s="6">
        <v>4.7640000000000002</v>
      </c>
      <c r="B5" s="7"/>
    </row>
    <row r="6" spans="1:2" x14ac:dyDescent="0.25">
      <c r="A6" s="6">
        <v>10</v>
      </c>
      <c r="B6" s="7"/>
    </row>
    <row r="7" spans="1:2" x14ac:dyDescent="0.25">
      <c r="A7" s="6">
        <v>44</v>
      </c>
      <c r="B7" s="7"/>
    </row>
    <row r="8" spans="1:2" x14ac:dyDescent="0.25">
      <c r="A8" s="6">
        <v>90.78</v>
      </c>
      <c r="B8" s="7"/>
    </row>
    <row r="9" spans="1:2" x14ac:dyDescent="0.25">
      <c r="A9" s="6">
        <v>100</v>
      </c>
      <c r="B9" s="7"/>
    </row>
    <row r="10" spans="1:2" x14ac:dyDescent="0.25">
      <c r="A10" s="6">
        <v>3200</v>
      </c>
      <c r="B10" s="7"/>
    </row>
    <row r="11" spans="1:2" x14ac:dyDescent="0.25">
      <c r="A11" s="6">
        <v>30500</v>
      </c>
      <c r="B11" s="7"/>
    </row>
    <row r="12" spans="1:2" x14ac:dyDescent="0.25">
      <c r="A12" s="6">
        <v>63230</v>
      </c>
      <c r="B12" s="7"/>
    </row>
    <row r="13" spans="1:2" x14ac:dyDescent="0.25">
      <c r="A13" s="6">
        <v>95000</v>
      </c>
      <c r="B13" s="7"/>
    </row>
    <row r="14" spans="1:2" x14ac:dyDescent="0.25">
      <c r="A14" s="6">
        <v>250000</v>
      </c>
      <c r="B14" s="7"/>
    </row>
    <row r="15" spans="1:2" x14ac:dyDescent="0.25">
      <c r="A15" s="6">
        <v>1793780</v>
      </c>
      <c r="B15" s="7"/>
    </row>
    <row r="16" spans="1:2" x14ac:dyDescent="0.25">
      <c r="A16" s="6">
        <v>2682000</v>
      </c>
      <c r="B16" s="7"/>
    </row>
    <row r="17" spans="1:2" x14ac:dyDescent="0.25">
      <c r="A17" s="6">
        <v>2703000</v>
      </c>
      <c r="B17" s="7"/>
    </row>
    <row r="18" spans="1:2" x14ac:dyDescent="0.25">
      <c r="A18" s="6" t="s">
        <v>28</v>
      </c>
      <c r="B18" s="7">
        <v>55850</v>
      </c>
    </row>
    <row r="19" spans="1:2" x14ac:dyDescent="0.25">
      <c r="A19" s="6" t="s">
        <v>2</v>
      </c>
      <c r="B19" s="7">
        <v>205000</v>
      </c>
    </row>
    <row r="20" spans="1:2" x14ac:dyDescent="0.25">
      <c r="A20" s="6" t="s">
        <v>9</v>
      </c>
      <c r="B20" s="7">
        <v>254100</v>
      </c>
    </row>
    <row r="21" spans="1:2" x14ac:dyDescent="0.25">
      <c r="A21" s="6" t="s">
        <v>7</v>
      </c>
      <c r="B21" s="7">
        <v>237500</v>
      </c>
    </row>
    <row r="22" spans="1:2" x14ac:dyDescent="0.25">
      <c r="A22" s="6" t="s">
        <v>6</v>
      </c>
      <c r="B22" s="7">
        <v>336900</v>
      </c>
    </row>
    <row r="23" spans="1:2" x14ac:dyDescent="0.25">
      <c r="A23" s="6" t="s">
        <v>13</v>
      </c>
      <c r="B23" s="7">
        <v>225500</v>
      </c>
    </row>
    <row r="24" spans="1:2" x14ac:dyDescent="0.25">
      <c r="A24" s="6" t="s">
        <v>10</v>
      </c>
      <c r="B24" s="7">
        <v>115600</v>
      </c>
    </row>
    <row r="25" spans="1:2" x14ac:dyDescent="0.25">
      <c r="A25" s="6" t="s">
        <v>11</v>
      </c>
      <c r="B25" s="7">
        <v>257250</v>
      </c>
    </row>
    <row r="26" spans="1:2" x14ac:dyDescent="0.25">
      <c r="A26" s="6" t="s">
        <v>30</v>
      </c>
      <c r="B26" s="7">
        <v>106080</v>
      </c>
    </row>
    <row r="27" spans="1:2" x14ac:dyDescent="0.25">
      <c r="A27" s="6" t="s">
        <v>75</v>
      </c>
      <c r="B27" s="7">
        <v>1793780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7"/>
  <sheetViews>
    <sheetView topLeftCell="A3" workbookViewId="0">
      <selection activeCell="A3" sqref="A3"/>
    </sheetView>
  </sheetViews>
  <sheetFormatPr defaultRowHeight="15" x14ac:dyDescent="0.25"/>
  <cols>
    <col min="1" max="1" width="16.28515625" bestFit="1" customWidth="1"/>
    <col min="2" max="2" width="36" bestFit="1" customWidth="1"/>
  </cols>
  <sheetData>
    <row r="3" spans="1:2" x14ac:dyDescent="0.25">
      <c r="A3" s="5" t="s">
        <v>74</v>
      </c>
      <c r="B3" t="s">
        <v>77</v>
      </c>
    </row>
    <row r="4" spans="1:2" x14ac:dyDescent="0.25">
      <c r="A4" s="6">
        <v>0.4780929265184547</v>
      </c>
      <c r="B4" s="7"/>
    </row>
    <row r="5" spans="1:2" x14ac:dyDescent="0.25">
      <c r="A5" s="6">
        <v>4.7640000000000002</v>
      </c>
      <c r="B5" s="7"/>
    </row>
    <row r="6" spans="1:2" x14ac:dyDescent="0.25">
      <c r="A6" s="6">
        <v>10</v>
      </c>
      <c r="B6" s="7"/>
    </row>
    <row r="7" spans="1:2" x14ac:dyDescent="0.25">
      <c r="A7" s="6">
        <v>44</v>
      </c>
      <c r="B7" s="7"/>
    </row>
    <row r="8" spans="1:2" x14ac:dyDescent="0.25">
      <c r="A8" s="6">
        <v>90.78</v>
      </c>
      <c r="B8" s="7"/>
    </row>
    <row r="9" spans="1:2" x14ac:dyDescent="0.25">
      <c r="A9" s="6">
        <v>100</v>
      </c>
      <c r="B9" s="7"/>
    </row>
    <row r="10" spans="1:2" x14ac:dyDescent="0.25">
      <c r="A10" s="6">
        <v>3200</v>
      </c>
      <c r="B10" s="7"/>
    </row>
    <row r="11" spans="1:2" x14ac:dyDescent="0.25">
      <c r="A11" s="6">
        <v>30500</v>
      </c>
      <c r="B11" s="7"/>
    </row>
    <row r="12" spans="1:2" x14ac:dyDescent="0.25">
      <c r="A12" s="6">
        <v>63230</v>
      </c>
      <c r="B12" s="7"/>
    </row>
    <row r="13" spans="1:2" x14ac:dyDescent="0.25">
      <c r="A13" s="6">
        <v>95000</v>
      </c>
      <c r="B13" s="7"/>
    </row>
    <row r="14" spans="1:2" x14ac:dyDescent="0.25">
      <c r="A14" s="6">
        <v>250000</v>
      </c>
      <c r="B14" s="7"/>
    </row>
    <row r="15" spans="1:2" x14ac:dyDescent="0.25">
      <c r="A15" s="6">
        <v>1793780</v>
      </c>
      <c r="B15" s="7"/>
    </row>
    <row r="16" spans="1:2" x14ac:dyDescent="0.25">
      <c r="A16" s="6">
        <v>2682000</v>
      </c>
      <c r="B16" s="7"/>
    </row>
    <row r="17" spans="1:2" x14ac:dyDescent="0.25">
      <c r="A17" s="6">
        <v>2703000</v>
      </c>
      <c r="B17" s="7"/>
    </row>
    <row r="18" spans="1:2" x14ac:dyDescent="0.25">
      <c r="A18" s="6" t="s">
        <v>28</v>
      </c>
      <c r="B18" s="7">
        <v>148100</v>
      </c>
    </row>
    <row r="19" spans="1:2" x14ac:dyDescent="0.25">
      <c r="A19" s="6" t="s">
        <v>2</v>
      </c>
      <c r="B19" s="7">
        <v>233000</v>
      </c>
    </row>
    <row r="20" spans="1:2" x14ac:dyDescent="0.25">
      <c r="A20" s="6" t="s">
        <v>9</v>
      </c>
      <c r="B20" s="7">
        <v>354800</v>
      </c>
    </row>
    <row r="21" spans="1:2" x14ac:dyDescent="0.25">
      <c r="A21" s="6" t="s">
        <v>7</v>
      </c>
      <c r="B21" s="7">
        <v>331100</v>
      </c>
    </row>
    <row r="22" spans="1:2" x14ac:dyDescent="0.25">
      <c r="A22" s="6" t="s">
        <v>6</v>
      </c>
      <c r="B22" s="7">
        <v>471700</v>
      </c>
    </row>
    <row r="23" spans="1:2" x14ac:dyDescent="0.25">
      <c r="A23" s="6" t="s">
        <v>13</v>
      </c>
      <c r="B23" s="7">
        <v>298400</v>
      </c>
    </row>
    <row r="24" spans="1:2" x14ac:dyDescent="0.25">
      <c r="A24" s="6" t="s">
        <v>10</v>
      </c>
      <c r="B24" s="7">
        <v>208200</v>
      </c>
    </row>
    <row r="25" spans="1:2" x14ac:dyDescent="0.25">
      <c r="A25" s="6" t="s">
        <v>11</v>
      </c>
      <c r="B25" s="7">
        <v>361000</v>
      </c>
    </row>
    <row r="26" spans="1:2" x14ac:dyDescent="0.25">
      <c r="A26" s="6" t="s">
        <v>30</v>
      </c>
      <c r="B26" s="7">
        <v>275700</v>
      </c>
    </row>
    <row r="27" spans="1:2" x14ac:dyDescent="0.25">
      <c r="A27" s="6" t="s">
        <v>75</v>
      </c>
      <c r="B27" s="7">
        <v>2682000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7"/>
  <sheetViews>
    <sheetView topLeftCell="A3" workbookViewId="0">
      <selection activeCell="A16" sqref="A16"/>
    </sheetView>
  </sheetViews>
  <sheetFormatPr defaultRowHeight="15" x14ac:dyDescent="0.25"/>
  <cols>
    <col min="1" max="1" width="16.28515625" bestFit="1" customWidth="1"/>
    <col min="2" max="2" width="16" bestFit="1" customWidth="1"/>
    <col min="3" max="3" width="19.85546875" bestFit="1" customWidth="1"/>
  </cols>
  <sheetData>
    <row r="3" spans="1:2" x14ac:dyDescent="0.25">
      <c r="A3" s="5" t="s">
        <v>74</v>
      </c>
      <c r="B3" t="s">
        <v>79</v>
      </c>
    </row>
    <row r="4" spans="1:2" x14ac:dyDescent="0.25">
      <c r="A4" s="6">
        <v>0.4780929265184547</v>
      </c>
      <c r="B4" s="7"/>
    </row>
    <row r="5" spans="1:2" x14ac:dyDescent="0.25">
      <c r="A5" s="6">
        <v>4.7640000000000002</v>
      </c>
      <c r="B5" s="7"/>
    </row>
    <row r="6" spans="1:2" x14ac:dyDescent="0.25">
      <c r="A6" s="6">
        <v>10</v>
      </c>
      <c r="B6" s="7"/>
    </row>
    <row r="7" spans="1:2" x14ac:dyDescent="0.25">
      <c r="A7" s="6">
        <v>44</v>
      </c>
      <c r="B7" s="7"/>
    </row>
    <row r="8" spans="1:2" x14ac:dyDescent="0.25">
      <c r="A8" s="6">
        <v>90.78</v>
      </c>
      <c r="B8" s="7"/>
    </row>
    <row r="9" spans="1:2" x14ac:dyDescent="0.25">
      <c r="A9" s="6">
        <v>100</v>
      </c>
      <c r="B9" s="7"/>
    </row>
    <row r="10" spans="1:2" x14ac:dyDescent="0.25">
      <c r="A10" s="6">
        <v>3200</v>
      </c>
      <c r="B10" s="7"/>
    </row>
    <row r="11" spans="1:2" x14ac:dyDescent="0.25">
      <c r="A11" s="6">
        <v>30500</v>
      </c>
      <c r="B11" s="7"/>
    </row>
    <row r="12" spans="1:2" x14ac:dyDescent="0.25">
      <c r="A12" s="6">
        <v>63230</v>
      </c>
      <c r="B12" s="7"/>
    </row>
    <row r="13" spans="1:2" x14ac:dyDescent="0.25">
      <c r="A13" s="6">
        <v>95000</v>
      </c>
      <c r="B13" s="7"/>
    </row>
    <row r="14" spans="1:2" x14ac:dyDescent="0.25">
      <c r="A14" s="6">
        <v>250000</v>
      </c>
      <c r="B14" s="7"/>
    </row>
    <row r="15" spans="1:2" x14ac:dyDescent="0.25">
      <c r="A15" s="6">
        <v>1793780</v>
      </c>
      <c r="B15" s="7"/>
    </row>
    <row r="16" spans="1:2" x14ac:dyDescent="0.25">
      <c r="A16" s="6">
        <v>2682000</v>
      </c>
      <c r="B16" s="7"/>
    </row>
    <row r="17" spans="1:2" x14ac:dyDescent="0.25">
      <c r="A17" s="6">
        <v>2703000</v>
      </c>
      <c r="B17" s="7"/>
    </row>
    <row r="18" spans="1:2" x14ac:dyDescent="0.25">
      <c r="A18" s="6" t="s">
        <v>28</v>
      </c>
      <c r="B18" s="7">
        <v>250000</v>
      </c>
    </row>
    <row r="19" spans="1:2" x14ac:dyDescent="0.25">
      <c r="A19" s="6" t="s">
        <v>2</v>
      </c>
      <c r="B19" s="7">
        <v>220000</v>
      </c>
    </row>
    <row r="20" spans="1:2" x14ac:dyDescent="0.25">
      <c r="A20" s="6" t="s">
        <v>9</v>
      </c>
      <c r="B20" s="7">
        <v>280000</v>
      </c>
    </row>
    <row r="21" spans="1:2" x14ac:dyDescent="0.25">
      <c r="A21" s="6" t="s">
        <v>7</v>
      </c>
      <c r="B21" s="7">
        <v>285000</v>
      </c>
    </row>
    <row r="22" spans="1:2" x14ac:dyDescent="0.25">
      <c r="A22" s="6" t="s">
        <v>6</v>
      </c>
      <c r="B22" s="7">
        <v>395000</v>
      </c>
    </row>
    <row r="23" spans="1:2" x14ac:dyDescent="0.25">
      <c r="A23" s="6" t="s">
        <v>13</v>
      </c>
      <c r="B23" s="7">
        <v>255000</v>
      </c>
    </row>
    <row r="24" spans="1:2" x14ac:dyDescent="0.25">
      <c r="A24" s="6" t="s">
        <v>10</v>
      </c>
      <c r="B24" s="7">
        <v>230000</v>
      </c>
    </row>
    <row r="25" spans="1:2" x14ac:dyDescent="0.25">
      <c r="A25" s="6" t="s">
        <v>11</v>
      </c>
      <c r="B25" s="7">
        <v>288000</v>
      </c>
    </row>
    <row r="26" spans="1:2" x14ac:dyDescent="0.25">
      <c r="A26" s="6" t="s">
        <v>30</v>
      </c>
      <c r="B26" s="7">
        <v>500000</v>
      </c>
    </row>
    <row r="27" spans="1:2" x14ac:dyDescent="0.25">
      <c r="A27" s="6" t="s">
        <v>75</v>
      </c>
      <c r="B27" s="7">
        <v>2703000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"/>
  <sheetViews>
    <sheetView tabSelected="1" workbookViewId="0">
      <selection activeCell="C4" sqref="C4"/>
    </sheetView>
  </sheetViews>
  <sheetFormatPr defaultRowHeight="15" x14ac:dyDescent="0.25"/>
  <cols>
    <col min="1" max="1" width="22.140625" bestFit="1" customWidth="1"/>
    <col min="2" max="2" width="23.85546875" bestFit="1" customWidth="1"/>
    <col min="3" max="3" width="16" customWidth="1"/>
    <col min="4" max="4" width="16" bestFit="1" customWidth="1"/>
  </cols>
  <sheetData>
    <row r="3" spans="1:3" x14ac:dyDescent="0.25">
      <c r="A3" t="s">
        <v>85</v>
      </c>
      <c r="B3" t="s">
        <v>86</v>
      </c>
      <c r="C3" t="s">
        <v>79</v>
      </c>
    </row>
    <row r="4" spans="1:3" x14ac:dyDescent="0.25">
      <c r="A4" s="7">
        <v>6323000</v>
      </c>
      <c r="B4" s="7">
        <v>3620000</v>
      </c>
      <c r="C4" s="7">
        <v>2703000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9"/>
  <sheetViews>
    <sheetView workbookViewId="0">
      <selection activeCell="O16" sqref="O16"/>
    </sheetView>
  </sheetViews>
  <sheetFormatPr defaultRowHeight="15" x14ac:dyDescent="0.25"/>
  <cols>
    <col min="1" max="1" width="20.85546875" bestFit="1" customWidth="1"/>
    <col min="2" max="2" width="16" bestFit="1" customWidth="1"/>
  </cols>
  <sheetData>
    <row r="3" spans="1:2" x14ac:dyDescent="0.25">
      <c r="A3" s="5" t="s">
        <v>74</v>
      </c>
      <c r="B3" t="s">
        <v>79</v>
      </c>
    </row>
    <row r="4" spans="1:2" x14ac:dyDescent="0.25">
      <c r="A4" s="6">
        <v>1</v>
      </c>
      <c r="B4" s="7">
        <v>100000</v>
      </c>
    </row>
    <row r="5" spans="1:2" x14ac:dyDescent="0.25">
      <c r="A5" s="6">
        <v>2</v>
      </c>
      <c r="B5" s="7">
        <v>60000</v>
      </c>
    </row>
    <row r="6" spans="1:2" x14ac:dyDescent="0.25">
      <c r="A6" s="6">
        <v>3</v>
      </c>
      <c r="B6" s="7">
        <v>60000</v>
      </c>
    </row>
    <row r="7" spans="1:2" x14ac:dyDescent="0.25">
      <c r="A7" s="6">
        <v>4</v>
      </c>
      <c r="B7" s="7">
        <v>35000</v>
      </c>
    </row>
    <row r="8" spans="1:2" x14ac:dyDescent="0.25">
      <c r="A8" s="6">
        <v>5</v>
      </c>
      <c r="B8" s="7">
        <v>35000</v>
      </c>
    </row>
    <row r="9" spans="1:2" x14ac:dyDescent="0.25">
      <c r="A9" s="6">
        <v>6</v>
      </c>
      <c r="B9" s="7">
        <v>30000</v>
      </c>
    </row>
    <row r="10" spans="1:2" x14ac:dyDescent="0.25">
      <c r="A10" s="6">
        <v>7</v>
      </c>
      <c r="B10" s="7">
        <v>35000</v>
      </c>
    </row>
    <row r="11" spans="1:2" x14ac:dyDescent="0.25">
      <c r="A11" s="6">
        <v>8</v>
      </c>
      <c r="B11" s="7">
        <v>30000</v>
      </c>
    </row>
    <row r="12" spans="1:2" x14ac:dyDescent="0.25">
      <c r="A12" s="6">
        <v>9</v>
      </c>
      <c r="B12" s="7">
        <v>38000</v>
      </c>
    </row>
    <row r="13" spans="1:2" x14ac:dyDescent="0.25">
      <c r="A13" s="6">
        <v>10</v>
      </c>
      <c r="B13" s="7">
        <v>30000</v>
      </c>
    </row>
    <row r="14" spans="1:2" x14ac:dyDescent="0.25">
      <c r="A14" s="6">
        <v>11</v>
      </c>
      <c r="B14" s="7">
        <v>25000</v>
      </c>
    </row>
    <row r="15" spans="1:2" x14ac:dyDescent="0.25">
      <c r="A15" s="6">
        <v>12</v>
      </c>
      <c r="B15" s="7">
        <v>25000</v>
      </c>
    </row>
    <row r="16" spans="1:2" x14ac:dyDescent="0.25">
      <c r="A16" s="6">
        <v>13</v>
      </c>
      <c r="B16" s="7">
        <v>25000</v>
      </c>
    </row>
    <row r="17" spans="1:2" x14ac:dyDescent="0.25">
      <c r="A17" s="6">
        <v>14</v>
      </c>
      <c r="B17" s="7">
        <v>25000</v>
      </c>
    </row>
    <row r="18" spans="1:2" x14ac:dyDescent="0.25">
      <c r="A18" s="6">
        <v>15</v>
      </c>
      <c r="B18" s="7">
        <v>25000</v>
      </c>
    </row>
    <row r="19" spans="1:2" x14ac:dyDescent="0.25">
      <c r="A19" s="6">
        <v>16</v>
      </c>
      <c r="B19" s="7">
        <v>25000</v>
      </c>
    </row>
    <row r="20" spans="1:2" x14ac:dyDescent="0.25">
      <c r="A20" s="6">
        <v>17</v>
      </c>
      <c r="B20" s="7">
        <v>25000</v>
      </c>
    </row>
    <row r="21" spans="1:2" x14ac:dyDescent="0.25">
      <c r="A21" s="6">
        <v>18</v>
      </c>
      <c r="B21" s="7">
        <v>25000</v>
      </c>
    </row>
    <row r="22" spans="1:2" x14ac:dyDescent="0.25">
      <c r="A22" s="6">
        <v>19</v>
      </c>
      <c r="B22" s="7">
        <v>25000</v>
      </c>
    </row>
    <row r="23" spans="1:2" x14ac:dyDescent="0.25">
      <c r="A23" s="6">
        <v>20</v>
      </c>
      <c r="B23" s="7">
        <v>25000</v>
      </c>
    </row>
    <row r="24" spans="1:2" x14ac:dyDescent="0.25">
      <c r="A24" s="6">
        <v>21</v>
      </c>
      <c r="B24" s="7">
        <v>25000</v>
      </c>
    </row>
    <row r="25" spans="1:2" x14ac:dyDescent="0.25">
      <c r="A25" s="6">
        <v>22</v>
      </c>
      <c r="B25" s="7">
        <v>25000</v>
      </c>
    </row>
    <row r="26" spans="1:2" x14ac:dyDescent="0.25">
      <c r="A26" s="6">
        <v>23</v>
      </c>
      <c r="B26" s="7">
        <v>25000</v>
      </c>
    </row>
    <row r="27" spans="1:2" x14ac:dyDescent="0.25">
      <c r="A27" s="6">
        <v>24</v>
      </c>
      <c r="B27" s="7">
        <v>25000</v>
      </c>
    </row>
    <row r="28" spans="1:2" x14ac:dyDescent="0.25">
      <c r="A28" s="6">
        <v>25</v>
      </c>
      <c r="B28" s="7">
        <v>25000</v>
      </c>
    </row>
    <row r="29" spans="1:2" x14ac:dyDescent="0.25">
      <c r="A29" s="6">
        <v>26</v>
      </c>
      <c r="B29" s="7">
        <v>25000</v>
      </c>
    </row>
    <row r="30" spans="1:2" x14ac:dyDescent="0.25">
      <c r="A30" s="6">
        <v>27</v>
      </c>
      <c r="B30" s="7">
        <v>25000</v>
      </c>
    </row>
    <row r="31" spans="1:2" x14ac:dyDescent="0.25">
      <c r="A31" s="6">
        <v>28</v>
      </c>
      <c r="B31" s="7">
        <v>25000</v>
      </c>
    </row>
    <row r="32" spans="1:2" x14ac:dyDescent="0.25">
      <c r="A32" s="6">
        <v>29</v>
      </c>
      <c r="B32" s="7">
        <v>25000</v>
      </c>
    </row>
    <row r="33" spans="1:2" x14ac:dyDescent="0.25">
      <c r="A33" s="6">
        <v>30</v>
      </c>
      <c r="B33" s="7">
        <v>25000</v>
      </c>
    </row>
    <row r="34" spans="1:2" x14ac:dyDescent="0.25">
      <c r="A34" s="6">
        <v>31</v>
      </c>
      <c r="B34" s="7">
        <v>25000</v>
      </c>
    </row>
    <row r="35" spans="1:2" x14ac:dyDescent="0.25">
      <c r="A35" s="6">
        <v>32</v>
      </c>
      <c r="B35" s="7">
        <v>25000</v>
      </c>
    </row>
    <row r="36" spans="1:2" x14ac:dyDescent="0.25">
      <c r="A36" s="6">
        <v>33</v>
      </c>
      <c r="B36" s="7">
        <v>25000</v>
      </c>
    </row>
    <row r="37" spans="1:2" x14ac:dyDescent="0.25">
      <c r="A37" s="6">
        <v>34</v>
      </c>
      <c r="B37" s="7">
        <v>25000</v>
      </c>
    </row>
    <row r="38" spans="1:2" x14ac:dyDescent="0.25">
      <c r="A38" s="6">
        <v>35</v>
      </c>
      <c r="B38" s="7">
        <v>25000</v>
      </c>
    </row>
    <row r="39" spans="1:2" x14ac:dyDescent="0.25">
      <c r="A39" s="6">
        <v>36</v>
      </c>
      <c r="B39" s="7">
        <v>25000</v>
      </c>
    </row>
    <row r="40" spans="1:2" x14ac:dyDescent="0.25">
      <c r="A40" s="6">
        <v>37</v>
      </c>
      <c r="B40" s="7">
        <v>25000</v>
      </c>
    </row>
    <row r="41" spans="1:2" x14ac:dyDescent="0.25">
      <c r="A41" s="6">
        <v>38</v>
      </c>
      <c r="B41" s="7">
        <v>25000</v>
      </c>
    </row>
    <row r="42" spans="1:2" x14ac:dyDescent="0.25">
      <c r="A42" s="6">
        <v>39</v>
      </c>
      <c r="B42" s="7">
        <v>25000</v>
      </c>
    </row>
    <row r="43" spans="1:2" x14ac:dyDescent="0.25">
      <c r="A43" s="6">
        <v>40</v>
      </c>
      <c r="B43" s="7">
        <v>25000</v>
      </c>
    </row>
    <row r="44" spans="1:2" x14ac:dyDescent="0.25">
      <c r="A44" s="6">
        <v>41</v>
      </c>
      <c r="B44" s="7">
        <v>25000</v>
      </c>
    </row>
    <row r="45" spans="1:2" x14ac:dyDescent="0.25">
      <c r="A45" s="6">
        <v>42</v>
      </c>
      <c r="B45" s="7">
        <v>25000</v>
      </c>
    </row>
    <row r="46" spans="1:2" x14ac:dyDescent="0.25">
      <c r="A46" s="6">
        <v>43</v>
      </c>
      <c r="B46" s="7">
        <v>25000</v>
      </c>
    </row>
    <row r="47" spans="1:2" x14ac:dyDescent="0.25">
      <c r="A47" s="6">
        <v>44</v>
      </c>
      <c r="B47" s="7">
        <v>25000</v>
      </c>
    </row>
    <row r="48" spans="1:2" x14ac:dyDescent="0.25">
      <c r="A48" s="6">
        <v>45</v>
      </c>
      <c r="B48" s="7">
        <v>25000</v>
      </c>
    </row>
    <row r="49" spans="1:2" x14ac:dyDescent="0.25">
      <c r="A49" s="6">
        <v>46</v>
      </c>
      <c r="B49" s="7">
        <v>25000</v>
      </c>
    </row>
    <row r="50" spans="1:2" x14ac:dyDescent="0.25">
      <c r="A50" s="6">
        <v>47</v>
      </c>
      <c r="B50" s="7">
        <v>25000</v>
      </c>
    </row>
    <row r="51" spans="1:2" x14ac:dyDescent="0.25">
      <c r="A51" s="6">
        <v>48</v>
      </c>
      <c r="B51" s="7">
        <v>25000</v>
      </c>
    </row>
    <row r="52" spans="1:2" x14ac:dyDescent="0.25">
      <c r="A52" s="6">
        <v>49</v>
      </c>
      <c r="B52" s="7">
        <v>25000</v>
      </c>
    </row>
    <row r="53" spans="1:2" x14ac:dyDescent="0.25">
      <c r="A53" s="6">
        <v>50</v>
      </c>
      <c r="B53" s="7">
        <v>25000</v>
      </c>
    </row>
    <row r="54" spans="1:2" x14ac:dyDescent="0.25">
      <c r="A54" s="6">
        <v>51</v>
      </c>
      <c r="B54" s="7">
        <v>25000</v>
      </c>
    </row>
    <row r="55" spans="1:2" x14ac:dyDescent="0.25">
      <c r="A55" s="6">
        <v>52</v>
      </c>
      <c r="B55" s="7">
        <v>25000</v>
      </c>
    </row>
    <row r="56" spans="1:2" x14ac:dyDescent="0.25">
      <c r="A56" s="6">
        <v>53</v>
      </c>
      <c r="B56" s="7">
        <v>25000</v>
      </c>
    </row>
    <row r="57" spans="1:2" x14ac:dyDescent="0.25">
      <c r="A57" s="6">
        <v>54</v>
      </c>
      <c r="B57" s="7">
        <v>25000</v>
      </c>
    </row>
    <row r="58" spans="1:2" x14ac:dyDescent="0.25">
      <c r="A58" s="6">
        <v>55</v>
      </c>
      <c r="B58" s="7">
        <v>25000</v>
      </c>
    </row>
    <row r="59" spans="1:2" x14ac:dyDescent="0.25">
      <c r="A59" s="6">
        <v>56</v>
      </c>
      <c r="B59" s="7">
        <v>25000</v>
      </c>
    </row>
    <row r="60" spans="1:2" x14ac:dyDescent="0.25">
      <c r="A60" s="6">
        <v>57</v>
      </c>
      <c r="B60" s="7">
        <v>25000</v>
      </c>
    </row>
    <row r="61" spans="1:2" x14ac:dyDescent="0.25">
      <c r="A61" s="6">
        <v>58</v>
      </c>
      <c r="B61" s="7">
        <v>25000</v>
      </c>
    </row>
    <row r="62" spans="1:2" x14ac:dyDescent="0.25">
      <c r="A62" s="6">
        <v>59</v>
      </c>
      <c r="B62" s="7">
        <v>25000</v>
      </c>
    </row>
    <row r="63" spans="1:2" x14ac:dyDescent="0.25">
      <c r="A63" s="6">
        <v>60</v>
      </c>
      <c r="B63" s="7">
        <v>25000</v>
      </c>
    </row>
    <row r="64" spans="1:2" x14ac:dyDescent="0.25">
      <c r="A64" s="6">
        <v>61</v>
      </c>
      <c r="B64" s="7">
        <v>25000</v>
      </c>
    </row>
    <row r="65" spans="1:2" x14ac:dyDescent="0.25">
      <c r="A65" s="6">
        <v>62</v>
      </c>
      <c r="B65" s="7">
        <v>25000</v>
      </c>
    </row>
    <row r="66" spans="1:2" x14ac:dyDescent="0.25">
      <c r="A66" s="6">
        <v>63</v>
      </c>
      <c r="B66" s="7">
        <v>25000</v>
      </c>
    </row>
    <row r="67" spans="1:2" x14ac:dyDescent="0.25">
      <c r="A67" s="6">
        <v>64</v>
      </c>
      <c r="B67" s="7">
        <v>25000</v>
      </c>
    </row>
    <row r="68" spans="1:2" x14ac:dyDescent="0.25">
      <c r="A68" s="6">
        <v>65</v>
      </c>
      <c r="B68" s="7">
        <v>25000</v>
      </c>
    </row>
    <row r="69" spans="1:2" x14ac:dyDescent="0.25">
      <c r="A69" s="6">
        <v>66</v>
      </c>
      <c r="B69" s="7">
        <v>25000</v>
      </c>
    </row>
    <row r="70" spans="1:2" x14ac:dyDescent="0.25">
      <c r="A70" s="6">
        <v>67</v>
      </c>
      <c r="B70" s="7">
        <v>25000</v>
      </c>
    </row>
    <row r="71" spans="1:2" x14ac:dyDescent="0.25">
      <c r="A71" s="6">
        <v>68</v>
      </c>
      <c r="B71" s="7">
        <v>25000</v>
      </c>
    </row>
    <row r="72" spans="1:2" x14ac:dyDescent="0.25">
      <c r="A72" s="6">
        <v>69</v>
      </c>
      <c r="B72" s="7">
        <v>25000</v>
      </c>
    </row>
    <row r="73" spans="1:2" x14ac:dyDescent="0.25">
      <c r="A73" s="6">
        <v>70</v>
      </c>
      <c r="B73" s="7">
        <v>25000</v>
      </c>
    </row>
    <row r="74" spans="1:2" x14ac:dyDescent="0.25">
      <c r="A74" s="6">
        <v>71</v>
      </c>
      <c r="B74" s="7">
        <v>25000</v>
      </c>
    </row>
    <row r="75" spans="1:2" x14ac:dyDescent="0.25">
      <c r="A75" s="6">
        <v>72</v>
      </c>
      <c r="B75" s="7">
        <v>25000</v>
      </c>
    </row>
    <row r="76" spans="1:2" x14ac:dyDescent="0.25">
      <c r="A76" s="6">
        <v>73</v>
      </c>
      <c r="B76" s="7">
        <v>25000</v>
      </c>
    </row>
    <row r="77" spans="1:2" x14ac:dyDescent="0.25">
      <c r="A77" s="6">
        <v>74</v>
      </c>
      <c r="B77" s="7">
        <v>25000</v>
      </c>
    </row>
    <row r="78" spans="1:2" x14ac:dyDescent="0.25">
      <c r="A78" s="6">
        <v>75</v>
      </c>
      <c r="B78" s="7">
        <v>25000</v>
      </c>
    </row>
    <row r="79" spans="1:2" x14ac:dyDescent="0.25">
      <c r="A79" s="6">
        <v>76</v>
      </c>
      <c r="B79" s="7">
        <v>25000</v>
      </c>
    </row>
    <row r="80" spans="1:2" x14ac:dyDescent="0.25">
      <c r="A80" s="6">
        <v>77</v>
      </c>
      <c r="B80" s="7">
        <v>25000</v>
      </c>
    </row>
    <row r="81" spans="1:2" x14ac:dyDescent="0.25">
      <c r="A81" s="6">
        <v>78</v>
      </c>
      <c r="B81" s="7">
        <v>25000</v>
      </c>
    </row>
    <row r="82" spans="1:2" x14ac:dyDescent="0.25">
      <c r="A82" s="6">
        <v>79</v>
      </c>
      <c r="B82" s="7">
        <v>25000</v>
      </c>
    </row>
    <row r="83" spans="1:2" x14ac:dyDescent="0.25">
      <c r="A83" s="6">
        <v>80</v>
      </c>
      <c r="B83" s="7">
        <v>25000</v>
      </c>
    </row>
    <row r="84" spans="1:2" x14ac:dyDescent="0.25">
      <c r="A84" s="6">
        <v>81</v>
      </c>
      <c r="B84" s="7">
        <v>25000</v>
      </c>
    </row>
    <row r="85" spans="1:2" x14ac:dyDescent="0.25">
      <c r="A85" s="6">
        <v>82</v>
      </c>
      <c r="B85" s="7">
        <v>25000</v>
      </c>
    </row>
    <row r="86" spans="1:2" x14ac:dyDescent="0.25">
      <c r="A86" s="6">
        <v>83</v>
      </c>
      <c r="B86" s="7">
        <v>25000</v>
      </c>
    </row>
    <row r="87" spans="1:2" x14ac:dyDescent="0.25">
      <c r="A87" s="6">
        <v>84</v>
      </c>
      <c r="B87" s="7">
        <v>25000</v>
      </c>
    </row>
    <row r="88" spans="1:2" x14ac:dyDescent="0.25">
      <c r="A88" s="6">
        <v>85</v>
      </c>
      <c r="B88" s="7">
        <v>25000</v>
      </c>
    </row>
    <row r="89" spans="1:2" x14ac:dyDescent="0.25">
      <c r="A89" s="6">
        <v>86</v>
      </c>
      <c r="B89" s="7">
        <v>25000</v>
      </c>
    </row>
    <row r="90" spans="1:2" x14ac:dyDescent="0.25">
      <c r="A90" s="6">
        <v>87</v>
      </c>
      <c r="B90" s="7">
        <v>25000</v>
      </c>
    </row>
    <row r="91" spans="1:2" x14ac:dyDescent="0.25">
      <c r="A91" s="6">
        <v>88</v>
      </c>
      <c r="B91" s="7">
        <v>25000</v>
      </c>
    </row>
    <row r="92" spans="1:2" x14ac:dyDescent="0.25">
      <c r="A92" s="6">
        <v>89</v>
      </c>
      <c r="B92" s="7">
        <v>25000</v>
      </c>
    </row>
    <row r="93" spans="1:2" x14ac:dyDescent="0.25">
      <c r="A93" s="6">
        <v>90</v>
      </c>
      <c r="B93" s="7">
        <v>25000</v>
      </c>
    </row>
    <row r="94" spans="1:2" x14ac:dyDescent="0.25">
      <c r="A94" s="6">
        <v>91</v>
      </c>
      <c r="B94" s="7">
        <v>25000</v>
      </c>
    </row>
    <row r="95" spans="1:2" x14ac:dyDescent="0.25">
      <c r="A95" s="6">
        <v>92</v>
      </c>
      <c r="B95" s="7">
        <v>25000</v>
      </c>
    </row>
    <row r="96" spans="1:2" x14ac:dyDescent="0.25">
      <c r="A96" s="6">
        <v>93</v>
      </c>
      <c r="B96" s="7">
        <v>25000</v>
      </c>
    </row>
    <row r="97" spans="1:2" x14ac:dyDescent="0.25">
      <c r="A97" s="6">
        <v>94</v>
      </c>
      <c r="B97" s="7">
        <v>25000</v>
      </c>
    </row>
    <row r="98" spans="1:2" x14ac:dyDescent="0.25">
      <c r="A98" s="6">
        <v>95</v>
      </c>
      <c r="B98" s="7">
        <v>25000</v>
      </c>
    </row>
    <row r="99" spans="1:2" x14ac:dyDescent="0.25">
      <c r="A99" s="6">
        <v>96</v>
      </c>
      <c r="B99" s="7">
        <v>25000</v>
      </c>
    </row>
    <row r="100" spans="1:2" x14ac:dyDescent="0.25">
      <c r="A100" s="6">
        <v>97</v>
      </c>
      <c r="B100" s="7">
        <v>25000</v>
      </c>
    </row>
    <row r="101" spans="1:2" x14ac:dyDescent="0.25">
      <c r="A101" s="6">
        <v>98</v>
      </c>
      <c r="B101" s="7">
        <v>25000</v>
      </c>
    </row>
    <row r="102" spans="1:2" x14ac:dyDescent="0.25">
      <c r="A102" s="6">
        <v>99</v>
      </c>
      <c r="B102" s="7">
        <v>25000</v>
      </c>
    </row>
    <row r="103" spans="1:2" x14ac:dyDescent="0.25">
      <c r="A103" s="6">
        <v>100</v>
      </c>
      <c r="B103" s="7">
        <v>25000</v>
      </c>
    </row>
    <row r="104" spans="1:2" x14ac:dyDescent="0.25">
      <c r="A104" s="6" t="s">
        <v>68</v>
      </c>
      <c r="B104" s="7"/>
    </row>
    <row r="105" spans="1:2" x14ac:dyDescent="0.25">
      <c r="A105" s="6" t="s">
        <v>71</v>
      </c>
      <c r="B105" s="7"/>
    </row>
    <row r="106" spans="1:2" x14ac:dyDescent="0.25">
      <c r="A106" s="6" t="s">
        <v>61</v>
      </c>
      <c r="B106" s="7"/>
    </row>
    <row r="107" spans="1:2" x14ac:dyDescent="0.25">
      <c r="A107" s="6" t="s">
        <v>64</v>
      </c>
      <c r="B107" s="7"/>
    </row>
    <row r="108" spans="1:2" x14ac:dyDescent="0.25">
      <c r="A108" s="6" t="s">
        <v>69</v>
      </c>
      <c r="B108" s="7"/>
    </row>
    <row r="109" spans="1:2" x14ac:dyDescent="0.25">
      <c r="A109" s="6" t="s">
        <v>72</v>
      </c>
      <c r="B109" s="7"/>
    </row>
    <row r="110" spans="1:2" x14ac:dyDescent="0.25">
      <c r="A110" s="6" t="s">
        <v>66</v>
      </c>
      <c r="B110" s="7"/>
    </row>
    <row r="111" spans="1:2" x14ac:dyDescent="0.25">
      <c r="A111" s="6" t="s">
        <v>62</v>
      </c>
      <c r="B111" s="7"/>
    </row>
    <row r="112" spans="1:2" x14ac:dyDescent="0.25">
      <c r="A112" s="6" t="s">
        <v>70</v>
      </c>
      <c r="B112" s="7"/>
    </row>
    <row r="113" spans="1:2" x14ac:dyDescent="0.25">
      <c r="A113" s="6" t="s">
        <v>67</v>
      </c>
      <c r="B113" s="7"/>
    </row>
    <row r="114" spans="1:2" x14ac:dyDescent="0.25">
      <c r="A114" s="6" t="s">
        <v>63</v>
      </c>
      <c r="B114" s="7"/>
    </row>
    <row r="115" spans="1:2" x14ac:dyDescent="0.25">
      <c r="A115" s="6" t="s">
        <v>73</v>
      </c>
      <c r="B115" s="7"/>
    </row>
    <row r="116" spans="1:2" x14ac:dyDescent="0.25">
      <c r="A116" s="6" t="s">
        <v>59</v>
      </c>
      <c r="B116" s="7"/>
    </row>
    <row r="117" spans="1:2" x14ac:dyDescent="0.25">
      <c r="A117" s="6" t="s">
        <v>65</v>
      </c>
      <c r="B117" s="7"/>
    </row>
    <row r="118" spans="1:2" x14ac:dyDescent="0.25">
      <c r="A118" s="6" t="s">
        <v>60</v>
      </c>
      <c r="B118" s="7"/>
    </row>
    <row r="119" spans="1:2" x14ac:dyDescent="0.25">
      <c r="A119" s="6" t="s">
        <v>75</v>
      </c>
      <c r="B119" s="7">
        <v>2703000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7"/>
  <sheetViews>
    <sheetView topLeftCell="A3" workbookViewId="0">
      <selection activeCell="A3" sqref="A3"/>
    </sheetView>
  </sheetViews>
  <sheetFormatPr defaultRowHeight="15" x14ac:dyDescent="0.25"/>
  <cols>
    <col min="1" max="1" width="16.28515625" bestFit="1" customWidth="1"/>
    <col min="2" max="2" width="20.85546875" bestFit="1" customWidth="1"/>
  </cols>
  <sheetData>
    <row r="3" spans="1:2" x14ac:dyDescent="0.25">
      <c r="A3" s="5" t="s">
        <v>74</v>
      </c>
      <c r="B3" t="s">
        <v>87</v>
      </c>
    </row>
    <row r="4" spans="1:2" x14ac:dyDescent="0.25">
      <c r="A4" s="6">
        <v>0.4780929265184547</v>
      </c>
      <c r="B4" s="7"/>
    </row>
    <row r="5" spans="1:2" x14ac:dyDescent="0.25">
      <c r="A5" s="6">
        <v>4.7640000000000002</v>
      </c>
      <c r="B5" s="7"/>
    </row>
    <row r="6" spans="1:2" x14ac:dyDescent="0.25">
      <c r="A6" s="6">
        <v>10</v>
      </c>
      <c r="B6" s="7"/>
    </row>
    <row r="7" spans="1:2" x14ac:dyDescent="0.25">
      <c r="A7" s="6">
        <v>44</v>
      </c>
      <c r="B7" s="7"/>
    </row>
    <row r="8" spans="1:2" x14ac:dyDescent="0.25">
      <c r="A8" s="6">
        <v>90.78</v>
      </c>
      <c r="B8" s="7"/>
    </row>
    <row r="9" spans="1:2" x14ac:dyDescent="0.25">
      <c r="A9" s="6">
        <v>100</v>
      </c>
      <c r="B9" s="7"/>
    </row>
    <row r="10" spans="1:2" x14ac:dyDescent="0.25">
      <c r="A10" s="6">
        <v>3200</v>
      </c>
      <c r="B10" s="7"/>
    </row>
    <row r="11" spans="1:2" x14ac:dyDescent="0.25">
      <c r="A11" s="6">
        <v>30500</v>
      </c>
      <c r="B11" s="7"/>
    </row>
    <row r="12" spans="1:2" x14ac:dyDescent="0.25">
      <c r="A12" s="6">
        <v>63230</v>
      </c>
      <c r="B12" s="7"/>
    </row>
    <row r="13" spans="1:2" x14ac:dyDescent="0.25">
      <c r="A13" s="6">
        <v>95000</v>
      </c>
      <c r="B13" s="7"/>
    </row>
    <row r="14" spans="1:2" x14ac:dyDescent="0.25">
      <c r="A14" s="6">
        <v>250000</v>
      </c>
      <c r="B14" s="7"/>
    </row>
    <row r="15" spans="1:2" x14ac:dyDescent="0.25">
      <c r="A15" s="6">
        <v>1793780</v>
      </c>
      <c r="B15" s="7"/>
    </row>
    <row r="16" spans="1:2" x14ac:dyDescent="0.25">
      <c r="A16" s="6">
        <v>2682000</v>
      </c>
      <c r="B16" s="7"/>
    </row>
    <row r="17" spans="1:2" x14ac:dyDescent="0.25">
      <c r="A17" s="6">
        <v>2703000</v>
      </c>
      <c r="B17" s="7"/>
    </row>
    <row r="18" spans="1:2" x14ac:dyDescent="0.25">
      <c r="A18" s="6" t="s">
        <v>28</v>
      </c>
      <c r="B18" s="7">
        <v>0.58545661951499517</v>
      </c>
    </row>
    <row r="19" spans="1:2" x14ac:dyDescent="0.25">
      <c r="A19" s="6" t="s">
        <v>2</v>
      </c>
      <c r="B19" s="7">
        <v>0.3620915032679739</v>
      </c>
    </row>
    <row r="20" spans="1:2" x14ac:dyDescent="0.25">
      <c r="A20" s="6" t="s">
        <v>9</v>
      </c>
      <c r="B20" s="7">
        <v>0.37244645382822122</v>
      </c>
    </row>
    <row r="21" spans="1:2" x14ac:dyDescent="0.25">
      <c r="A21" s="6" t="s">
        <v>7</v>
      </c>
      <c r="B21" s="7">
        <v>0.3926236190245786</v>
      </c>
    </row>
    <row r="22" spans="1:2" x14ac:dyDescent="0.25">
      <c r="A22" s="6" t="s">
        <v>6</v>
      </c>
      <c r="B22" s="7">
        <v>0.3614108363874815</v>
      </c>
    </row>
    <row r="23" spans="1:2" x14ac:dyDescent="0.25">
      <c r="A23" s="6" t="s">
        <v>13</v>
      </c>
      <c r="B23" s="7">
        <v>0.4138664211500257</v>
      </c>
    </row>
    <row r="24" spans="1:2" x14ac:dyDescent="0.25">
      <c r="A24" s="6" t="s">
        <v>10</v>
      </c>
      <c r="B24" s="7">
        <v>0.45144337571000737</v>
      </c>
    </row>
    <row r="25" spans="1:2" x14ac:dyDescent="0.25">
      <c r="A25" s="6" t="s">
        <v>11</v>
      </c>
      <c r="B25" s="7">
        <v>0.41358370064721145</v>
      </c>
    </row>
    <row r="26" spans="1:2" x14ac:dyDescent="0.25">
      <c r="A26" s="6" t="s">
        <v>30</v>
      </c>
      <c r="B26" s="7">
        <v>0.71402216498444704</v>
      </c>
    </row>
    <row r="27" spans="1:2" x14ac:dyDescent="0.25">
      <c r="A27" s="6" t="s">
        <v>75</v>
      </c>
      <c r="B27" s="7">
        <v>0.4780929265184547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7"/>
  <sheetViews>
    <sheetView topLeftCell="A3" workbookViewId="0">
      <selection activeCell="A3" sqref="A3"/>
    </sheetView>
  </sheetViews>
  <sheetFormatPr defaultRowHeight="15" x14ac:dyDescent="0.25"/>
  <cols>
    <col min="1" max="1" width="16.28515625" bestFit="1" customWidth="1"/>
    <col min="2" max="2" width="16" bestFit="1" customWidth="1"/>
  </cols>
  <sheetData>
    <row r="3" spans="1:2" x14ac:dyDescent="0.25">
      <c r="A3" s="5" t="s">
        <v>74</v>
      </c>
      <c r="B3" t="s">
        <v>79</v>
      </c>
    </row>
    <row r="4" spans="1:2" x14ac:dyDescent="0.25">
      <c r="A4" s="6">
        <v>0.4780929265184547</v>
      </c>
      <c r="B4" s="7"/>
    </row>
    <row r="5" spans="1:2" x14ac:dyDescent="0.25">
      <c r="A5" s="6">
        <v>4.7640000000000002</v>
      </c>
      <c r="B5" s="7"/>
    </row>
    <row r="6" spans="1:2" x14ac:dyDescent="0.25">
      <c r="A6" s="6">
        <v>10</v>
      </c>
      <c r="B6" s="7"/>
    </row>
    <row r="7" spans="1:2" x14ac:dyDescent="0.25">
      <c r="A7" s="6">
        <v>44</v>
      </c>
      <c r="B7" s="7"/>
    </row>
    <row r="8" spans="1:2" x14ac:dyDescent="0.25">
      <c r="A8" s="6">
        <v>90.78</v>
      </c>
      <c r="B8" s="7"/>
    </row>
    <row r="9" spans="1:2" x14ac:dyDescent="0.25">
      <c r="A9" s="6">
        <v>100</v>
      </c>
      <c r="B9" s="7"/>
    </row>
    <row r="10" spans="1:2" x14ac:dyDescent="0.25">
      <c r="A10" s="6">
        <v>3200</v>
      </c>
      <c r="B10" s="7"/>
    </row>
    <row r="11" spans="1:2" x14ac:dyDescent="0.25">
      <c r="A11" s="6">
        <v>30500</v>
      </c>
      <c r="B11" s="7"/>
    </row>
    <row r="12" spans="1:2" x14ac:dyDescent="0.25">
      <c r="A12" s="6">
        <v>63230</v>
      </c>
      <c r="B12" s="7"/>
    </row>
    <row r="13" spans="1:2" x14ac:dyDescent="0.25">
      <c r="A13" s="6">
        <v>95000</v>
      </c>
      <c r="B13" s="7"/>
    </row>
    <row r="14" spans="1:2" x14ac:dyDescent="0.25">
      <c r="A14" s="6">
        <v>250000</v>
      </c>
      <c r="B14" s="7"/>
    </row>
    <row r="15" spans="1:2" x14ac:dyDescent="0.25">
      <c r="A15" s="6">
        <v>1793780</v>
      </c>
      <c r="B15" s="7"/>
    </row>
    <row r="16" spans="1:2" x14ac:dyDescent="0.25">
      <c r="A16" s="6">
        <v>2682000</v>
      </c>
      <c r="B16" s="7"/>
    </row>
    <row r="17" spans="1:2" x14ac:dyDescent="0.25">
      <c r="A17" s="6">
        <v>2703000</v>
      </c>
      <c r="B17" s="7"/>
    </row>
    <row r="18" spans="1:2" x14ac:dyDescent="0.25">
      <c r="A18" s="6" t="s">
        <v>28</v>
      </c>
      <c r="B18" s="7">
        <v>250000</v>
      </c>
    </row>
    <row r="19" spans="1:2" x14ac:dyDescent="0.25">
      <c r="A19" s="6" t="s">
        <v>2</v>
      </c>
      <c r="B19" s="7">
        <v>220000</v>
      </c>
    </row>
    <row r="20" spans="1:2" x14ac:dyDescent="0.25">
      <c r="A20" s="6" t="s">
        <v>9</v>
      </c>
      <c r="B20" s="7">
        <v>280000</v>
      </c>
    </row>
    <row r="21" spans="1:2" x14ac:dyDescent="0.25">
      <c r="A21" s="6" t="s">
        <v>7</v>
      </c>
      <c r="B21" s="7">
        <v>285000</v>
      </c>
    </row>
    <row r="22" spans="1:2" x14ac:dyDescent="0.25">
      <c r="A22" s="6" t="s">
        <v>6</v>
      </c>
      <c r="B22" s="7">
        <v>395000</v>
      </c>
    </row>
    <row r="23" spans="1:2" x14ac:dyDescent="0.25">
      <c r="A23" s="6" t="s">
        <v>13</v>
      </c>
      <c r="B23" s="7">
        <v>255000</v>
      </c>
    </row>
    <row r="24" spans="1:2" x14ac:dyDescent="0.25">
      <c r="A24" s="6" t="s">
        <v>10</v>
      </c>
      <c r="B24" s="7">
        <v>230000</v>
      </c>
    </row>
    <row r="25" spans="1:2" x14ac:dyDescent="0.25">
      <c r="A25" s="6" t="s">
        <v>11</v>
      </c>
      <c r="B25" s="7">
        <v>288000</v>
      </c>
    </row>
    <row r="26" spans="1:2" x14ac:dyDescent="0.25">
      <c r="A26" s="6" t="s">
        <v>30</v>
      </c>
      <c r="B26" s="7">
        <v>500000</v>
      </c>
    </row>
    <row r="27" spans="1:2" x14ac:dyDescent="0.25">
      <c r="A27" s="6" t="s">
        <v>75</v>
      </c>
      <c r="B27" s="7">
        <v>2703000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7"/>
  <sheetViews>
    <sheetView topLeftCell="A3" workbookViewId="0">
      <selection activeCell="B6" sqref="B6"/>
    </sheetView>
  </sheetViews>
  <sheetFormatPr defaultRowHeight="15" x14ac:dyDescent="0.25"/>
  <cols>
    <col min="1" max="1" width="16.28515625" bestFit="1" customWidth="1"/>
    <col min="2" max="2" width="9" bestFit="1" customWidth="1"/>
  </cols>
  <sheetData>
    <row r="3" spans="1:2" x14ac:dyDescent="0.25">
      <c r="A3" s="5" t="s">
        <v>74</v>
      </c>
      <c r="B3" t="s">
        <v>78</v>
      </c>
    </row>
    <row r="4" spans="1:2" x14ac:dyDescent="0.25">
      <c r="A4" s="6">
        <v>0.4780929265184547</v>
      </c>
      <c r="B4" s="7">
        <v>1</v>
      </c>
    </row>
    <row r="5" spans="1:2" x14ac:dyDescent="0.25">
      <c r="A5" s="6">
        <v>4.7640000000000002</v>
      </c>
      <c r="B5" s="7">
        <v>1</v>
      </c>
    </row>
    <row r="6" spans="1:2" x14ac:dyDescent="0.25">
      <c r="A6" s="6">
        <v>10</v>
      </c>
      <c r="B6" s="7">
        <v>1</v>
      </c>
    </row>
    <row r="7" spans="1:2" x14ac:dyDescent="0.25">
      <c r="A7" s="6">
        <v>44</v>
      </c>
      <c r="B7" s="7">
        <v>1</v>
      </c>
    </row>
    <row r="8" spans="1:2" x14ac:dyDescent="0.25">
      <c r="A8" s="6">
        <v>90.78</v>
      </c>
      <c r="B8" s="7">
        <v>1</v>
      </c>
    </row>
    <row r="9" spans="1:2" x14ac:dyDescent="0.25">
      <c r="A9" s="6">
        <v>100</v>
      </c>
      <c r="B9" s="7">
        <v>2</v>
      </c>
    </row>
    <row r="10" spans="1:2" x14ac:dyDescent="0.25">
      <c r="A10" s="6">
        <v>3200</v>
      </c>
      <c r="B10" s="7">
        <v>1</v>
      </c>
    </row>
    <row r="11" spans="1:2" x14ac:dyDescent="0.25">
      <c r="A11" s="6">
        <v>30500</v>
      </c>
      <c r="B11" s="7">
        <v>1</v>
      </c>
    </row>
    <row r="12" spans="1:2" x14ac:dyDescent="0.25">
      <c r="A12" s="6">
        <v>63230</v>
      </c>
      <c r="B12" s="7">
        <v>1</v>
      </c>
    </row>
    <row r="13" spans="1:2" x14ac:dyDescent="0.25">
      <c r="A13" s="6">
        <v>95000</v>
      </c>
      <c r="B13" s="7">
        <v>1</v>
      </c>
    </row>
    <row r="14" spans="1:2" x14ac:dyDescent="0.25">
      <c r="A14" s="6">
        <v>250000</v>
      </c>
      <c r="B14" s="7">
        <v>1</v>
      </c>
    </row>
    <row r="15" spans="1:2" x14ac:dyDescent="0.25">
      <c r="A15" s="6">
        <v>1793780</v>
      </c>
      <c r="B15" s="7">
        <v>1</v>
      </c>
    </row>
    <row r="16" spans="1:2" x14ac:dyDescent="0.25">
      <c r="A16" s="6">
        <v>2682000</v>
      </c>
      <c r="B16" s="7">
        <v>1</v>
      </c>
    </row>
    <row r="17" spans="1:2" x14ac:dyDescent="0.25">
      <c r="A17" s="6">
        <v>2703000</v>
      </c>
      <c r="B17" s="7">
        <v>1</v>
      </c>
    </row>
    <row r="18" spans="1:2" x14ac:dyDescent="0.25">
      <c r="A18" s="6" t="s">
        <v>28</v>
      </c>
      <c r="B18" s="7">
        <v>10</v>
      </c>
    </row>
    <row r="19" spans="1:2" x14ac:dyDescent="0.25">
      <c r="A19" s="6" t="s">
        <v>2</v>
      </c>
      <c r="B19" s="7">
        <v>3</v>
      </c>
    </row>
    <row r="20" spans="1:2" x14ac:dyDescent="0.25">
      <c r="A20" s="6" t="s">
        <v>9</v>
      </c>
      <c r="B20" s="7">
        <v>11</v>
      </c>
    </row>
    <row r="21" spans="1:2" x14ac:dyDescent="0.25">
      <c r="A21" s="6" t="s">
        <v>7</v>
      </c>
      <c r="B21" s="7">
        <v>11</v>
      </c>
    </row>
    <row r="22" spans="1:2" x14ac:dyDescent="0.25">
      <c r="A22" s="6" t="s">
        <v>6</v>
      </c>
      <c r="B22" s="7">
        <v>15</v>
      </c>
    </row>
    <row r="23" spans="1:2" x14ac:dyDescent="0.25">
      <c r="A23" s="6" t="s">
        <v>13</v>
      </c>
      <c r="B23" s="7">
        <v>10</v>
      </c>
    </row>
    <row r="24" spans="1:2" x14ac:dyDescent="0.25">
      <c r="A24" s="6" t="s">
        <v>10</v>
      </c>
      <c r="B24" s="7">
        <v>9</v>
      </c>
    </row>
    <row r="25" spans="1:2" x14ac:dyDescent="0.25">
      <c r="A25" s="6" t="s">
        <v>11</v>
      </c>
      <c r="B25" s="7">
        <v>11</v>
      </c>
    </row>
    <row r="26" spans="1:2" x14ac:dyDescent="0.25">
      <c r="A26" s="6" t="s">
        <v>30</v>
      </c>
      <c r="B26" s="7">
        <v>20</v>
      </c>
    </row>
    <row r="27" spans="1:2" x14ac:dyDescent="0.25">
      <c r="A27" s="6" t="s">
        <v>75</v>
      </c>
      <c r="B27" s="7">
        <v>115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7"/>
  <sheetViews>
    <sheetView topLeftCell="A3" workbookViewId="0">
      <selection activeCell="C16" sqref="C16"/>
    </sheetView>
  </sheetViews>
  <sheetFormatPr defaultRowHeight="15" x14ac:dyDescent="0.25"/>
  <cols>
    <col min="1" max="1" width="16.28515625" bestFit="1" customWidth="1"/>
    <col min="2" max="2" width="22.140625" bestFit="1" customWidth="1"/>
    <col min="3" max="3" width="23.85546875" bestFit="1" customWidth="1"/>
  </cols>
  <sheetData>
    <row r="3" spans="1:3" x14ac:dyDescent="0.25">
      <c r="A3" s="5" t="s">
        <v>74</v>
      </c>
      <c r="B3" t="s">
        <v>85</v>
      </c>
      <c r="C3" t="s">
        <v>86</v>
      </c>
    </row>
    <row r="4" spans="1:3" x14ac:dyDescent="0.25">
      <c r="A4" s="6">
        <v>0.4780929265184547</v>
      </c>
      <c r="B4" s="7"/>
      <c r="C4" s="7"/>
    </row>
    <row r="5" spans="1:3" x14ac:dyDescent="0.25">
      <c r="A5" s="6">
        <v>4.7640000000000002</v>
      </c>
      <c r="B5" s="7"/>
      <c r="C5" s="7"/>
    </row>
    <row r="6" spans="1:3" x14ac:dyDescent="0.25">
      <c r="A6" s="6">
        <v>10</v>
      </c>
      <c r="B6" s="7"/>
      <c r="C6" s="7"/>
    </row>
    <row r="7" spans="1:3" x14ac:dyDescent="0.25">
      <c r="A7" s="6">
        <v>44</v>
      </c>
      <c r="B7" s="7"/>
      <c r="C7" s="7"/>
    </row>
    <row r="8" spans="1:3" x14ac:dyDescent="0.25">
      <c r="A8" s="6">
        <v>90.78</v>
      </c>
      <c r="B8" s="7"/>
      <c r="C8" s="7"/>
    </row>
    <row r="9" spans="1:3" x14ac:dyDescent="0.25">
      <c r="A9" s="6">
        <v>100</v>
      </c>
      <c r="B9" s="7"/>
      <c r="C9" s="7"/>
    </row>
    <row r="10" spans="1:3" x14ac:dyDescent="0.25">
      <c r="A10" s="6">
        <v>3200</v>
      </c>
      <c r="B10" s="7"/>
      <c r="C10" s="7"/>
    </row>
    <row r="11" spans="1:3" x14ac:dyDescent="0.25">
      <c r="A11" s="6">
        <v>30500</v>
      </c>
      <c r="B11" s="7"/>
      <c r="C11" s="7"/>
    </row>
    <row r="12" spans="1:3" x14ac:dyDescent="0.25">
      <c r="A12" s="6">
        <v>63230</v>
      </c>
      <c r="B12" s="7"/>
      <c r="C12" s="7"/>
    </row>
    <row r="13" spans="1:3" x14ac:dyDescent="0.25">
      <c r="A13" s="6">
        <v>95000</v>
      </c>
      <c r="B13" s="7"/>
      <c r="C13" s="7"/>
    </row>
    <row r="14" spans="1:3" x14ac:dyDescent="0.25">
      <c r="A14" s="6">
        <v>250000</v>
      </c>
      <c r="B14" s="7"/>
      <c r="C14" s="7"/>
    </row>
    <row r="15" spans="1:3" x14ac:dyDescent="0.25">
      <c r="A15" s="6">
        <v>1793780</v>
      </c>
      <c r="B15" s="7"/>
      <c r="C15" s="7"/>
    </row>
    <row r="16" spans="1:3" x14ac:dyDescent="0.25">
      <c r="A16" s="6">
        <v>2682000</v>
      </c>
      <c r="B16" s="7"/>
      <c r="C16" s="7"/>
    </row>
    <row r="17" spans="1:3" x14ac:dyDescent="0.25">
      <c r="A17" s="6">
        <v>2703000</v>
      </c>
      <c r="B17" s="7"/>
      <c r="C17" s="7"/>
    </row>
    <row r="18" spans="1:3" x14ac:dyDescent="0.25">
      <c r="A18" s="6" t="s">
        <v>28</v>
      </c>
      <c r="B18" s="7">
        <v>427500</v>
      </c>
      <c r="C18" s="7">
        <v>177500</v>
      </c>
    </row>
    <row r="19" spans="1:3" x14ac:dyDescent="0.25">
      <c r="A19" s="6" t="s">
        <v>2</v>
      </c>
      <c r="B19" s="7">
        <v>600000</v>
      </c>
      <c r="C19" s="7">
        <v>380000</v>
      </c>
    </row>
    <row r="20" spans="1:3" x14ac:dyDescent="0.25">
      <c r="A20" s="6" t="s">
        <v>9</v>
      </c>
      <c r="B20" s="7">
        <v>787500</v>
      </c>
      <c r="C20" s="7">
        <v>507500</v>
      </c>
    </row>
    <row r="21" spans="1:3" x14ac:dyDescent="0.25">
      <c r="A21" s="6" t="s">
        <v>7</v>
      </c>
      <c r="B21" s="7">
        <v>757000</v>
      </c>
      <c r="C21" s="7">
        <v>472000</v>
      </c>
    </row>
    <row r="22" spans="1:3" x14ac:dyDescent="0.25">
      <c r="A22" s="6" t="s">
        <v>6</v>
      </c>
      <c r="B22" s="7">
        <v>1137500</v>
      </c>
      <c r="C22" s="7">
        <v>742500</v>
      </c>
    </row>
    <row r="23" spans="1:3" x14ac:dyDescent="0.25">
      <c r="A23" s="6" t="s">
        <v>13</v>
      </c>
      <c r="B23" s="7">
        <v>649000</v>
      </c>
      <c r="C23" s="7">
        <v>394000</v>
      </c>
    </row>
    <row r="24" spans="1:3" x14ac:dyDescent="0.25">
      <c r="A24" s="6" t="s">
        <v>10</v>
      </c>
      <c r="B24" s="7">
        <v>535000</v>
      </c>
      <c r="C24" s="7">
        <v>305000</v>
      </c>
    </row>
    <row r="25" spans="1:3" x14ac:dyDescent="0.25">
      <c r="A25" s="6" t="s">
        <v>11</v>
      </c>
      <c r="B25" s="7">
        <v>724500</v>
      </c>
      <c r="C25" s="7">
        <v>436500</v>
      </c>
    </row>
    <row r="26" spans="1:3" x14ac:dyDescent="0.25">
      <c r="A26" s="6" t="s">
        <v>30</v>
      </c>
      <c r="B26" s="7">
        <v>705000</v>
      </c>
      <c r="C26" s="7">
        <v>205000</v>
      </c>
    </row>
    <row r="27" spans="1:3" x14ac:dyDescent="0.25">
      <c r="A27" s="6" t="s">
        <v>75</v>
      </c>
      <c r="B27" s="7">
        <v>6323000</v>
      </c>
      <c r="C27" s="7">
        <v>3620000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3" sqref="A3"/>
    </sheetView>
  </sheetViews>
  <sheetFormatPr defaultRowHeight="15" x14ac:dyDescent="0.25"/>
  <cols>
    <col min="1" max="1" width="16.28515625" bestFit="1" customWidth="1"/>
    <col min="2" max="2" width="9" customWidth="1"/>
  </cols>
  <sheetData>
    <row r="3" spans="1:2" x14ac:dyDescent="0.25">
      <c r="A3" s="5" t="s">
        <v>74</v>
      </c>
      <c r="B3" t="s">
        <v>78</v>
      </c>
    </row>
    <row r="4" spans="1:2" x14ac:dyDescent="0.25">
      <c r="A4" s="6" t="s">
        <v>39</v>
      </c>
      <c r="B4" s="7">
        <v>29</v>
      </c>
    </row>
    <row r="5" spans="1:2" x14ac:dyDescent="0.25">
      <c r="A5" s="6" t="s">
        <v>41</v>
      </c>
      <c r="B5" s="7">
        <v>33</v>
      </c>
    </row>
    <row r="6" spans="1:2" x14ac:dyDescent="0.25">
      <c r="A6" s="6" t="s">
        <v>43</v>
      </c>
      <c r="B6" s="7">
        <v>38</v>
      </c>
    </row>
    <row r="7" spans="1:2" x14ac:dyDescent="0.25">
      <c r="A7" s="6" t="s">
        <v>88</v>
      </c>
      <c r="B7" s="7">
        <v>15</v>
      </c>
    </row>
    <row r="8" spans="1:2" x14ac:dyDescent="0.25">
      <c r="A8" s="6" t="s">
        <v>75</v>
      </c>
      <c r="B8" s="7">
        <v>115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7"/>
  <sheetViews>
    <sheetView topLeftCell="A3" workbookViewId="0">
      <selection activeCell="K18" sqref="K18"/>
    </sheetView>
  </sheetViews>
  <sheetFormatPr defaultRowHeight="15" x14ac:dyDescent="0.25"/>
  <cols>
    <col min="1" max="1" width="16.28515625" bestFit="1" customWidth="1"/>
    <col min="2" max="2" width="24.28515625" bestFit="1" customWidth="1"/>
  </cols>
  <sheetData>
    <row r="3" spans="1:2" x14ac:dyDescent="0.25">
      <c r="A3" s="5" t="s">
        <v>74</v>
      </c>
      <c r="B3" t="s">
        <v>89</v>
      </c>
    </row>
    <row r="4" spans="1:2" x14ac:dyDescent="0.25">
      <c r="A4" s="6">
        <v>0.4780929265184547</v>
      </c>
      <c r="B4" s="7"/>
    </row>
    <row r="5" spans="1:2" x14ac:dyDescent="0.25">
      <c r="A5" s="6">
        <v>4.7640000000000002</v>
      </c>
      <c r="B5" s="7"/>
    </row>
    <row r="6" spans="1:2" x14ac:dyDescent="0.25">
      <c r="A6" s="6">
        <v>10</v>
      </c>
      <c r="B6" s="7"/>
    </row>
    <row r="7" spans="1:2" x14ac:dyDescent="0.25">
      <c r="A7" s="6">
        <v>44</v>
      </c>
      <c r="B7" s="7"/>
    </row>
    <row r="8" spans="1:2" x14ac:dyDescent="0.25">
      <c r="A8" s="6">
        <v>90.78</v>
      </c>
      <c r="B8" s="7"/>
    </row>
    <row r="9" spans="1:2" x14ac:dyDescent="0.25">
      <c r="A9" s="6">
        <v>100</v>
      </c>
      <c r="B9" s="7"/>
    </row>
    <row r="10" spans="1:2" x14ac:dyDescent="0.25">
      <c r="A10" s="6">
        <v>3200</v>
      </c>
      <c r="B10" s="7"/>
    </row>
    <row r="11" spans="1:2" x14ac:dyDescent="0.25">
      <c r="A11" s="6">
        <v>30500</v>
      </c>
      <c r="B11" s="7"/>
    </row>
    <row r="12" spans="1:2" x14ac:dyDescent="0.25">
      <c r="A12" s="6">
        <v>63230</v>
      </c>
      <c r="B12" s="7"/>
    </row>
    <row r="13" spans="1:2" x14ac:dyDescent="0.25">
      <c r="A13" s="6">
        <v>95000</v>
      </c>
      <c r="B13" s="7"/>
    </row>
    <row r="14" spans="1:2" x14ac:dyDescent="0.25">
      <c r="A14" s="6">
        <v>250000</v>
      </c>
      <c r="B14" s="7"/>
    </row>
    <row r="15" spans="1:2" x14ac:dyDescent="0.25">
      <c r="A15" s="6">
        <v>1793780</v>
      </c>
      <c r="B15" s="7"/>
    </row>
    <row r="16" spans="1:2" x14ac:dyDescent="0.25">
      <c r="A16" s="6">
        <v>2682000</v>
      </c>
      <c r="B16" s="7"/>
    </row>
    <row r="17" spans="1:2" x14ac:dyDescent="0.25">
      <c r="A17" s="6">
        <v>2703000</v>
      </c>
      <c r="B17" s="7"/>
    </row>
    <row r="18" spans="1:2" x14ac:dyDescent="0.25">
      <c r="A18" s="6" t="s">
        <v>28</v>
      </c>
      <c r="B18" s="7">
        <v>10</v>
      </c>
    </row>
    <row r="19" spans="1:2" x14ac:dyDescent="0.25">
      <c r="A19" s="6" t="s">
        <v>2</v>
      </c>
      <c r="B19" s="7">
        <v>3</v>
      </c>
    </row>
    <row r="20" spans="1:2" x14ac:dyDescent="0.25">
      <c r="A20" s="6" t="s">
        <v>9</v>
      </c>
      <c r="B20" s="7">
        <v>11</v>
      </c>
    </row>
    <row r="21" spans="1:2" x14ac:dyDescent="0.25">
      <c r="A21" s="6" t="s">
        <v>7</v>
      </c>
      <c r="B21" s="7">
        <v>11</v>
      </c>
    </row>
    <row r="22" spans="1:2" x14ac:dyDescent="0.25">
      <c r="A22" s="6" t="s">
        <v>6</v>
      </c>
      <c r="B22" s="7">
        <v>15</v>
      </c>
    </row>
    <row r="23" spans="1:2" x14ac:dyDescent="0.25">
      <c r="A23" s="6" t="s">
        <v>13</v>
      </c>
      <c r="B23" s="7">
        <v>10</v>
      </c>
    </row>
    <row r="24" spans="1:2" x14ac:dyDescent="0.25">
      <c r="A24" s="6" t="s">
        <v>10</v>
      </c>
      <c r="B24" s="7">
        <v>9</v>
      </c>
    </row>
    <row r="25" spans="1:2" x14ac:dyDescent="0.25">
      <c r="A25" s="6" t="s">
        <v>11</v>
      </c>
      <c r="B25" s="7">
        <v>11</v>
      </c>
    </row>
    <row r="26" spans="1:2" x14ac:dyDescent="0.25">
      <c r="A26" s="6" t="s">
        <v>30</v>
      </c>
      <c r="B26" s="7">
        <v>20</v>
      </c>
    </row>
    <row r="27" spans="1:2" x14ac:dyDescent="0.25">
      <c r="A27" s="6" t="s">
        <v>75</v>
      </c>
      <c r="B27" s="7">
        <v>100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3" sqref="A3"/>
    </sheetView>
  </sheetViews>
  <sheetFormatPr defaultRowHeight="15" x14ac:dyDescent="0.25"/>
  <cols>
    <col min="1" max="1" width="16.28515625" bestFit="1" customWidth="1"/>
    <col min="2" max="2" width="9" customWidth="1"/>
  </cols>
  <sheetData>
    <row r="3" spans="1:2" x14ac:dyDescent="0.25">
      <c r="A3" s="5" t="s">
        <v>74</v>
      </c>
      <c r="B3" t="s">
        <v>78</v>
      </c>
    </row>
    <row r="4" spans="1:2" x14ac:dyDescent="0.25">
      <c r="A4" s="6" t="s">
        <v>42</v>
      </c>
      <c r="B4" s="7">
        <v>30</v>
      </c>
    </row>
    <row r="5" spans="1:2" x14ac:dyDescent="0.25">
      <c r="A5" s="6" t="s">
        <v>38</v>
      </c>
      <c r="B5" s="7">
        <v>56</v>
      </c>
    </row>
    <row r="6" spans="1:2" x14ac:dyDescent="0.25">
      <c r="A6" s="6" t="s">
        <v>40</v>
      </c>
      <c r="B6" s="7">
        <v>14</v>
      </c>
    </row>
    <row r="7" spans="1:2" x14ac:dyDescent="0.25">
      <c r="A7" s="6" t="s">
        <v>88</v>
      </c>
      <c r="B7" s="7">
        <v>15</v>
      </c>
    </row>
    <row r="8" spans="1:2" x14ac:dyDescent="0.25">
      <c r="A8" s="6" t="s">
        <v>75</v>
      </c>
      <c r="B8" s="7">
        <v>115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7"/>
  <sheetViews>
    <sheetView topLeftCell="A3" workbookViewId="0">
      <selection activeCell="A3" sqref="A3"/>
    </sheetView>
  </sheetViews>
  <sheetFormatPr defaultRowHeight="15" x14ac:dyDescent="0.25"/>
  <cols>
    <col min="1" max="1" width="16.28515625" bestFit="1" customWidth="1"/>
    <col min="2" max="2" width="22.140625" bestFit="1" customWidth="1"/>
    <col min="3" max="3" width="23.85546875" bestFit="1" customWidth="1"/>
  </cols>
  <sheetData>
    <row r="3" spans="1:3" x14ac:dyDescent="0.25">
      <c r="A3" s="5" t="s">
        <v>74</v>
      </c>
      <c r="B3" t="s">
        <v>85</v>
      </c>
      <c r="C3" t="s">
        <v>86</v>
      </c>
    </row>
    <row r="4" spans="1:3" x14ac:dyDescent="0.25">
      <c r="A4" s="6">
        <v>0.4780929265184547</v>
      </c>
      <c r="B4" s="7"/>
      <c r="C4" s="7"/>
    </row>
    <row r="5" spans="1:3" x14ac:dyDescent="0.25">
      <c r="A5" s="6">
        <v>4.7640000000000002</v>
      </c>
      <c r="B5" s="7"/>
      <c r="C5" s="7"/>
    </row>
    <row r="6" spans="1:3" x14ac:dyDescent="0.25">
      <c r="A6" s="6">
        <v>10</v>
      </c>
      <c r="B6" s="7"/>
      <c r="C6" s="7"/>
    </row>
    <row r="7" spans="1:3" x14ac:dyDescent="0.25">
      <c r="A7" s="6">
        <v>44</v>
      </c>
      <c r="B7" s="7"/>
      <c r="C7" s="7"/>
    </row>
    <row r="8" spans="1:3" x14ac:dyDescent="0.25">
      <c r="A8" s="6">
        <v>90.78</v>
      </c>
      <c r="B8" s="7"/>
      <c r="C8" s="7"/>
    </row>
    <row r="9" spans="1:3" x14ac:dyDescent="0.25">
      <c r="A9" s="6">
        <v>100</v>
      </c>
      <c r="B9" s="7"/>
      <c r="C9" s="7"/>
    </row>
    <row r="10" spans="1:3" x14ac:dyDescent="0.25">
      <c r="A10" s="6">
        <v>3200</v>
      </c>
      <c r="B10" s="7"/>
      <c r="C10" s="7"/>
    </row>
    <row r="11" spans="1:3" x14ac:dyDescent="0.25">
      <c r="A11" s="6">
        <v>30500</v>
      </c>
      <c r="B11" s="7"/>
      <c r="C11" s="7"/>
    </row>
    <row r="12" spans="1:3" x14ac:dyDescent="0.25">
      <c r="A12" s="6">
        <v>63230</v>
      </c>
      <c r="B12" s="7"/>
      <c r="C12" s="7"/>
    </row>
    <row r="13" spans="1:3" x14ac:dyDescent="0.25">
      <c r="A13" s="6">
        <v>95000</v>
      </c>
      <c r="B13" s="7"/>
      <c r="C13" s="7"/>
    </row>
    <row r="14" spans="1:3" x14ac:dyDescent="0.25">
      <c r="A14" s="6">
        <v>250000</v>
      </c>
      <c r="B14" s="7"/>
      <c r="C14" s="7"/>
    </row>
    <row r="15" spans="1:3" x14ac:dyDescent="0.25">
      <c r="A15" s="6">
        <v>1793780</v>
      </c>
      <c r="B15" s="7"/>
      <c r="C15" s="7"/>
    </row>
    <row r="16" spans="1:3" x14ac:dyDescent="0.25">
      <c r="A16" s="6">
        <v>2682000</v>
      </c>
      <c r="B16" s="7"/>
      <c r="C16" s="7"/>
    </row>
    <row r="17" spans="1:3" x14ac:dyDescent="0.25">
      <c r="A17" s="6">
        <v>2703000</v>
      </c>
      <c r="B17" s="7"/>
      <c r="C17" s="7"/>
    </row>
    <row r="18" spans="1:3" x14ac:dyDescent="0.25">
      <c r="A18" s="6" t="s">
        <v>28</v>
      </c>
      <c r="B18" s="7">
        <v>427500</v>
      </c>
      <c r="C18" s="7">
        <v>177500</v>
      </c>
    </row>
    <row r="19" spans="1:3" x14ac:dyDescent="0.25">
      <c r="A19" s="6" t="s">
        <v>2</v>
      </c>
      <c r="B19" s="7">
        <v>600000</v>
      </c>
      <c r="C19" s="7">
        <v>380000</v>
      </c>
    </row>
    <row r="20" spans="1:3" x14ac:dyDescent="0.25">
      <c r="A20" s="6" t="s">
        <v>9</v>
      </c>
      <c r="B20" s="7">
        <v>787500</v>
      </c>
      <c r="C20" s="7">
        <v>507500</v>
      </c>
    </row>
    <row r="21" spans="1:3" x14ac:dyDescent="0.25">
      <c r="A21" s="6" t="s">
        <v>7</v>
      </c>
      <c r="B21" s="7">
        <v>757000</v>
      </c>
      <c r="C21" s="7">
        <v>472000</v>
      </c>
    </row>
    <row r="22" spans="1:3" x14ac:dyDescent="0.25">
      <c r="A22" s="6" t="s">
        <v>6</v>
      </c>
      <c r="B22" s="7">
        <v>1137500</v>
      </c>
      <c r="C22" s="7">
        <v>742500</v>
      </c>
    </row>
    <row r="23" spans="1:3" x14ac:dyDescent="0.25">
      <c r="A23" s="6" t="s">
        <v>13</v>
      </c>
      <c r="B23" s="7">
        <v>649000</v>
      </c>
      <c r="C23" s="7">
        <v>394000</v>
      </c>
    </row>
    <row r="24" spans="1:3" x14ac:dyDescent="0.25">
      <c r="A24" s="6" t="s">
        <v>10</v>
      </c>
      <c r="B24" s="7">
        <v>535000</v>
      </c>
      <c r="C24" s="7">
        <v>305000</v>
      </c>
    </row>
    <row r="25" spans="1:3" x14ac:dyDescent="0.25">
      <c r="A25" s="6" t="s">
        <v>11</v>
      </c>
      <c r="B25" s="7">
        <v>724500</v>
      </c>
      <c r="C25" s="7">
        <v>436500</v>
      </c>
    </row>
    <row r="26" spans="1:3" x14ac:dyDescent="0.25">
      <c r="A26" s="6" t="s">
        <v>30</v>
      </c>
      <c r="B26" s="7">
        <v>705000</v>
      </c>
      <c r="C26" s="7">
        <v>205000</v>
      </c>
    </row>
    <row r="27" spans="1:3" x14ac:dyDescent="0.25">
      <c r="A27" s="6" t="s">
        <v>75</v>
      </c>
      <c r="B27" s="7">
        <v>6323000</v>
      </c>
      <c r="C27" s="7">
        <v>3620000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7"/>
  <sheetViews>
    <sheetView topLeftCell="A3" workbookViewId="0">
      <selection activeCell="A3" sqref="A3"/>
    </sheetView>
  </sheetViews>
  <sheetFormatPr defaultRowHeight="15" x14ac:dyDescent="0.25"/>
  <cols>
    <col min="1" max="1" width="16.28515625" bestFit="1" customWidth="1"/>
    <col min="2" max="2" width="9" bestFit="1" customWidth="1"/>
  </cols>
  <sheetData>
    <row r="3" spans="1:2" x14ac:dyDescent="0.25">
      <c r="A3" s="5" t="s">
        <v>74</v>
      </c>
      <c r="B3" t="s">
        <v>78</v>
      </c>
    </row>
    <row r="4" spans="1:2" x14ac:dyDescent="0.25">
      <c r="A4" s="6">
        <v>0.4780929265184547</v>
      </c>
      <c r="B4" s="7">
        <v>1</v>
      </c>
    </row>
    <row r="5" spans="1:2" x14ac:dyDescent="0.25">
      <c r="A5" s="6">
        <v>4.7640000000000002</v>
      </c>
      <c r="B5" s="7">
        <v>1</v>
      </c>
    </row>
    <row r="6" spans="1:2" x14ac:dyDescent="0.25">
      <c r="A6" s="6">
        <v>10</v>
      </c>
      <c r="B6" s="7">
        <v>1</v>
      </c>
    </row>
    <row r="7" spans="1:2" x14ac:dyDescent="0.25">
      <c r="A7" s="6">
        <v>44</v>
      </c>
      <c r="B7" s="7">
        <v>1</v>
      </c>
    </row>
    <row r="8" spans="1:2" x14ac:dyDescent="0.25">
      <c r="A8" s="6">
        <v>90.78</v>
      </c>
      <c r="B8" s="7">
        <v>1</v>
      </c>
    </row>
    <row r="9" spans="1:2" x14ac:dyDescent="0.25">
      <c r="A9" s="6">
        <v>100</v>
      </c>
      <c r="B9" s="7">
        <v>2</v>
      </c>
    </row>
    <row r="10" spans="1:2" x14ac:dyDescent="0.25">
      <c r="A10" s="6">
        <v>3200</v>
      </c>
      <c r="B10" s="7">
        <v>1</v>
      </c>
    </row>
    <row r="11" spans="1:2" x14ac:dyDescent="0.25">
      <c r="A11" s="6">
        <v>30500</v>
      </c>
      <c r="B11" s="7">
        <v>1</v>
      </c>
    </row>
    <row r="12" spans="1:2" x14ac:dyDescent="0.25">
      <c r="A12" s="6">
        <v>63230</v>
      </c>
      <c r="B12" s="7">
        <v>1</v>
      </c>
    </row>
    <row r="13" spans="1:2" x14ac:dyDescent="0.25">
      <c r="A13" s="6">
        <v>95000</v>
      </c>
      <c r="B13" s="7">
        <v>1</v>
      </c>
    </row>
    <row r="14" spans="1:2" x14ac:dyDescent="0.25">
      <c r="A14" s="6">
        <v>250000</v>
      </c>
      <c r="B14" s="7">
        <v>1</v>
      </c>
    </row>
    <row r="15" spans="1:2" x14ac:dyDescent="0.25">
      <c r="A15" s="6">
        <v>1793780</v>
      </c>
      <c r="B15" s="7">
        <v>1</v>
      </c>
    </row>
    <row r="16" spans="1:2" x14ac:dyDescent="0.25">
      <c r="A16" s="6">
        <v>2682000</v>
      </c>
      <c r="B16" s="7">
        <v>1</v>
      </c>
    </row>
    <row r="17" spans="1:2" x14ac:dyDescent="0.25">
      <c r="A17" s="6">
        <v>2703000</v>
      </c>
      <c r="B17" s="7">
        <v>1</v>
      </c>
    </row>
    <row r="18" spans="1:2" x14ac:dyDescent="0.25">
      <c r="A18" s="6" t="s">
        <v>28</v>
      </c>
      <c r="B18" s="7">
        <v>10</v>
      </c>
    </row>
    <row r="19" spans="1:2" x14ac:dyDescent="0.25">
      <c r="A19" s="6" t="s">
        <v>2</v>
      </c>
      <c r="B19" s="7">
        <v>3</v>
      </c>
    </row>
    <row r="20" spans="1:2" x14ac:dyDescent="0.25">
      <c r="A20" s="6" t="s">
        <v>9</v>
      </c>
      <c r="B20" s="7">
        <v>11</v>
      </c>
    </row>
    <row r="21" spans="1:2" x14ac:dyDescent="0.25">
      <c r="A21" s="6" t="s">
        <v>7</v>
      </c>
      <c r="B21" s="7">
        <v>11</v>
      </c>
    </row>
    <row r="22" spans="1:2" x14ac:dyDescent="0.25">
      <c r="A22" s="6" t="s">
        <v>6</v>
      </c>
      <c r="B22" s="7">
        <v>15</v>
      </c>
    </row>
    <row r="23" spans="1:2" x14ac:dyDescent="0.25">
      <c r="A23" s="6" t="s">
        <v>13</v>
      </c>
      <c r="B23" s="7">
        <v>10</v>
      </c>
    </row>
    <row r="24" spans="1:2" x14ac:dyDescent="0.25">
      <c r="A24" s="6" t="s">
        <v>10</v>
      </c>
      <c r="B24" s="7">
        <v>9</v>
      </c>
    </row>
    <row r="25" spans="1:2" x14ac:dyDescent="0.25">
      <c r="A25" s="6" t="s">
        <v>11</v>
      </c>
      <c r="B25" s="7">
        <v>11</v>
      </c>
    </row>
    <row r="26" spans="1:2" x14ac:dyDescent="0.25">
      <c r="A26" s="6" t="s">
        <v>30</v>
      </c>
      <c r="B26" s="7">
        <v>20</v>
      </c>
    </row>
    <row r="27" spans="1:2" x14ac:dyDescent="0.25">
      <c r="A27" s="6" t="s">
        <v>75</v>
      </c>
      <c r="B27" s="7">
        <v>115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7"/>
  <sheetViews>
    <sheetView topLeftCell="A3" workbookViewId="0">
      <selection activeCell="A3" sqref="A3"/>
    </sheetView>
  </sheetViews>
  <sheetFormatPr defaultRowHeight="15" x14ac:dyDescent="0.25"/>
  <cols>
    <col min="1" max="1" width="16.28515625" bestFit="1" customWidth="1"/>
    <col min="2" max="2" width="16" bestFit="1" customWidth="1"/>
  </cols>
  <sheetData>
    <row r="3" spans="1:2" x14ac:dyDescent="0.25">
      <c r="A3" s="5" t="s">
        <v>74</v>
      </c>
      <c r="B3" t="s">
        <v>79</v>
      </c>
    </row>
    <row r="4" spans="1:2" x14ac:dyDescent="0.25">
      <c r="A4" s="6">
        <v>0.4780929265184547</v>
      </c>
      <c r="B4" s="7"/>
    </row>
    <row r="5" spans="1:2" x14ac:dyDescent="0.25">
      <c r="A5" s="6">
        <v>4.7640000000000002</v>
      </c>
      <c r="B5" s="7"/>
    </row>
    <row r="6" spans="1:2" x14ac:dyDescent="0.25">
      <c r="A6" s="6">
        <v>10</v>
      </c>
      <c r="B6" s="7"/>
    </row>
    <row r="7" spans="1:2" x14ac:dyDescent="0.25">
      <c r="A7" s="6">
        <v>44</v>
      </c>
      <c r="B7" s="7"/>
    </row>
    <row r="8" spans="1:2" x14ac:dyDescent="0.25">
      <c r="A8" s="6">
        <v>90.78</v>
      </c>
      <c r="B8" s="7"/>
    </row>
    <row r="9" spans="1:2" x14ac:dyDescent="0.25">
      <c r="A9" s="6">
        <v>100</v>
      </c>
      <c r="B9" s="7"/>
    </row>
    <row r="10" spans="1:2" x14ac:dyDescent="0.25">
      <c r="A10" s="6">
        <v>3200</v>
      </c>
      <c r="B10" s="7"/>
    </row>
    <row r="11" spans="1:2" x14ac:dyDescent="0.25">
      <c r="A11" s="6">
        <v>30500</v>
      </c>
      <c r="B11" s="7"/>
    </row>
    <row r="12" spans="1:2" x14ac:dyDescent="0.25">
      <c r="A12" s="6">
        <v>63230</v>
      </c>
      <c r="B12" s="7"/>
    </row>
    <row r="13" spans="1:2" x14ac:dyDescent="0.25">
      <c r="A13" s="6">
        <v>95000</v>
      </c>
      <c r="B13" s="7"/>
    </row>
    <row r="14" spans="1:2" x14ac:dyDescent="0.25">
      <c r="A14" s="6">
        <v>250000</v>
      </c>
      <c r="B14" s="7"/>
    </row>
    <row r="15" spans="1:2" x14ac:dyDescent="0.25">
      <c r="A15" s="6">
        <v>1793780</v>
      </c>
      <c r="B15" s="7"/>
    </row>
    <row r="16" spans="1:2" x14ac:dyDescent="0.25">
      <c r="A16" s="6">
        <v>2682000</v>
      </c>
      <c r="B16" s="7"/>
    </row>
    <row r="17" spans="1:2" x14ac:dyDescent="0.25">
      <c r="A17" s="6">
        <v>2703000</v>
      </c>
      <c r="B17" s="7"/>
    </row>
    <row r="18" spans="1:2" x14ac:dyDescent="0.25">
      <c r="A18" s="6" t="s">
        <v>28</v>
      </c>
      <c r="B18" s="7">
        <v>250000</v>
      </c>
    </row>
    <row r="19" spans="1:2" x14ac:dyDescent="0.25">
      <c r="A19" s="6" t="s">
        <v>2</v>
      </c>
      <c r="B19" s="7">
        <v>220000</v>
      </c>
    </row>
    <row r="20" spans="1:2" x14ac:dyDescent="0.25">
      <c r="A20" s="6" t="s">
        <v>9</v>
      </c>
      <c r="B20" s="7">
        <v>280000</v>
      </c>
    </row>
    <row r="21" spans="1:2" x14ac:dyDescent="0.25">
      <c r="A21" s="6" t="s">
        <v>7</v>
      </c>
      <c r="B21" s="7">
        <v>285000</v>
      </c>
    </row>
    <row r="22" spans="1:2" x14ac:dyDescent="0.25">
      <c r="A22" s="6" t="s">
        <v>6</v>
      </c>
      <c r="B22" s="7">
        <v>395000</v>
      </c>
    </row>
    <row r="23" spans="1:2" x14ac:dyDescent="0.25">
      <c r="A23" s="6" t="s">
        <v>13</v>
      </c>
      <c r="B23" s="7">
        <v>255000</v>
      </c>
    </row>
    <row r="24" spans="1:2" x14ac:dyDescent="0.25">
      <c r="A24" s="6" t="s">
        <v>10</v>
      </c>
      <c r="B24" s="7">
        <v>230000</v>
      </c>
    </row>
    <row r="25" spans="1:2" x14ac:dyDescent="0.25">
      <c r="A25" s="6" t="s">
        <v>11</v>
      </c>
      <c r="B25" s="7">
        <v>288000</v>
      </c>
    </row>
    <row r="26" spans="1:2" x14ac:dyDescent="0.25">
      <c r="A26" s="6" t="s">
        <v>30</v>
      </c>
      <c r="B26" s="7">
        <v>500000</v>
      </c>
    </row>
    <row r="27" spans="1:2" x14ac:dyDescent="0.25">
      <c r="A27" s="6" t="s">
        <v>75</v>
      </c>
      <c r="B27" s="7">
        <v>2703000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7"/>
  <sheetViews>
    <sheetView topLeftCell="A3" workbookViewId="0">
      <selection activeCell="A3" sqref="A3"/>
    </sheetView>
  </sheetViews>
  <sheetFormatPr defaultRowHeight="15" x14ac:dyDescent="0.25"/>
  <cols>
    <col min="1" max="1" width="16.28515625" bestFit="1" customWidth="1"/>
    <col min="2" max="2" width="20.85546875" bestFit="1" customWidth="1"/>
  </cols>
  <sheetData>
    <row r="3" spans="1:2" x14ac:dyDescent="0.25">
      <c r="A3" s="5" t="s">
        <v>74</v>
      </c>
      <c r="B3" t="s">
        <v>87</v>
      </c>
    </row>
    <row r="4" spans="1:2" x14ac:dyDescent="0.25">
      <c r="A4" s="6">
        <v>0.4780929265184547</v>
      </c>
      <c r="B4" s="7"/>
    </row>
    <row r="5" spans="1:2" x14ac:dyDescent="0.25">
      <c r="A5" s="6">
        <v>4.7640000000000002</v>
      </c>
      <c r="B5" s="7"/>
    </row>
    <row r="6" spans="1:2" x14ac:dyDescent="0.25">
      <c r="A6" s="6">
        <v>10</v>
      </c>
      <c r="B6" s="7"/>
    </row>
    <row r="7" spans="1:2" x14ac:dyDescent="0.25">
      <c r="A7" s="6">
        <v>44</v>
      </c>
      <c r="B7" s="7"/>
    </row>
    <row r="8" spans="1:2" x14ac:dyDescent="0.25">
      <c r="A8" s="6">
        <v>90.78</v>
      </c>
      <c r="B8" s="7"/>
    </row>
    <row r="9" spans="1:2" x14ac:dyDescent="0.25">
      <c r="A9" s="6">
        <v>100</v>
      </c>
      <c r="B9" s="7"/>
    </row>
    <row r="10" spans="1:2" x14ac:dyDescent="0.25">
      <c r="A10" s="6">
        <v>3200</v>
      </c>
      <c r="B10" s="7"/>
    </row>
    <row r="11" spans="1:2" x14ac:dyDescent="0.25">
      <c r="A11" s="6">
        <v>30500</v>
      </c>
      <c r="B11" s="7"/>
    </row>
    <row r="12" spans="1:2" x14ac:dyDescent="0.25">
      <c r="A12" s="6">
        <v>63230</v>
      </c>
      <c r="B12" s="7"/>
    </row>
    <row r="13" spans="1:2" x14ac:dyDescent="0.25">
      <c r="A13" s="6">
        <v>95000</v>
      </c>
      <c r="B13" s="7"/>
    </row>
    <row r="14" spans="1:2" x14ac:dyDescent="0.25">
      <c r="A14" s="6">
        <v>250000</v>
      </c>
      <c r="B14" s="7"/>
    </row>
    <row r="15" spans="1:2" x14ac:dyDescent="0.25">
      <c r="A15" s="6">
        <v>1793780</v>
      </c>
      <c r="B15" s="7"/>
    </row>
    <row r="16" spans="1:2" x14ac:dyDescent="0.25">
      <c r="A16" s="6">
        <v>2682000</v>
      </c>
      <c r="B16" s="7"/>
    </row>
    <row r="17" spans="1:2" x14ac:dyDescent="0.25">
      <c r="A17" s="6">
        <v>2703000</v>
      </c>
      <c r="B17" s="7"/>
    </row>
    <row r="18" spans="1:2" x14ac:dyDescent="0.25">
      <c r="A18" s="6" t="s">
        <v>28</v>
      </c>
      <c r="B18" s="7">
        <v>0.58545661951499517</v>
      </c>
    </row>
    <row r="19" spans="1:2" x14ac:dyDescent="0.25">
      <c r="A19" s="6" t="s">
        <v>2</v>
      </c>
      <c r="B19" s="7">
        <v>0.3620915032679739</v>
      </c>
    </row>
    <row r="20" spans="1:2" x14ac:dyDescent="0.25">
      <c r="A20" s="6" t="s">
        <v>9</v>
      </c>
      <c r="B20" s="7">
        <v>0.37244645382822122</v>
      </c>
    </row>
    <row r="21" spans="1:2" x14ac:dyDescent="0.25">
      <c r="A21" s="6" t="s">
        <v>7</v>
      </c>
      <c r="B21" s="7">
        <v>0.3926236190245786</v>
      </c>
    </row>
    <row r="22" spans="1:2" x14ac:dyDescent="0.25">
      <c r="A22" s="6" t="s">
        <v>6</v>
      </c>
      <c r="B22" s="7">
        <v>0.3614108363874815</v>
      </c>
    </row>
    <row r="23" spans="1:2" x14ac:dyDescent="0.25">
      <c r="A23" s="6" t="s">
        <v>13</v>
      </c>
      <c r="B23" s="7">
        <v>0.4138664211500257</v>
      </c>
    </row>
    <row r="24" spans="1:2" x14ac:dyDescent="0.25">
      <c r="A24" s="6" t="s">
        <v>10</v>
      </c>
      <c r="B24" s="7">
        <v>0.45144337571000737</v>
      </c>
    </row>
    <row r="25" spans="1:2" x14ac:dyDescent="0.25">
      <c r="A25" s="6" t="s">
        <v>11</v>
      </c>
      <c r="B25" s="7">
        <v>0.41358370064721145</v>
      </c>
    </row>
    <row r="26" spans="1:2" x14ac:dyDescent="0.25">
      <c r="A26" s="6" t="s">
        <v>30</v>
      </c>
      <c r="B26" s="7">
        <v>0.71402216498444704</v>
      </c>
    </row>
    <row r="27" spans="1:2" x14ac:dyDescent="0.25">
      <c r="A27" s="6" t="s">
        <v>75</v>
      </c>
      <c r="B27" s="7">
        <v>0.4780929265184547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9"/>
  <sheetViews>
    <sheetView workbookViewId="0">
      <selection activeCell="A3" sqref="A3"/>
    </sheetView>
  </sheetViews>
  <sheetFormatPr defaultRowHeight="15" x14ac:dyDescent="0.25"/>
  <cols>
    <col min="1" max="1" width="20.85546875" bestFit="1" customWidth="1"/>
    <col min="2" max="2" width="16" bestFit="1" customWidth="1"/>
  </cols>
  <sheetData>
    <row r="3" spans="1:2" x14ac:dyDescent="0.25">
      <c r="A3" s="5" t="s">
        <v>74</v>
      </c>
      <c r="B3" t="s">
        <v>79</v>
      </c>
    </row>
    <row r="4" spans="1:2" x14ac:dyDescent="0.25">
      <c r="A4" s="6">
        <v>1</v>
      </c>
      <c r="B4" s="7">
        <v>100000</v>
      </c>
    </row>
    <row r="5" spans="1:2" x14ac:dyDescent="0.25">
      <c r="A5" s="6">
        <v>2</v>
      </c>
      <c r="B5" s="7">
        <v>60000</v>
      </c>
    </row>
    <row r="6" spans="1:2" x14ac:dyDescent="0.25">
      <c r="A6" s="6">
        <v>3</v>
      </c>
      <c r="B6" s="7">
        <v>60000</v>
      </c>
    </row>
    <row r="7" spans="1:2" x14ac:dyDescent="0.25">
      <c r="A7" s="6">
        <v>4</v>
      </c>
      <c r="B7" s="7">
        <v>35000</v>
      </c>
    </row>
    <row r="8" spans="1:2" x14ac:dyDescent="0.25">
      <c r="A8" s="6">
        <v>5</v>
      </c>
      <c r="B8" s="7">
        <v>35000</v>
      </c>
    </row>
    <row r="9" spans="1:2" x14ac:dyDescent="0.25">
      <c r="A9" s="6">
        <v>6</v>
      </c>
      <c r="B9" s="7">
        <v>30000</v>
      </c>
    </row>
    <row r="10" spans="1:2" x14ac:dyDescent="0.25">
      <c r="A10" s="6">
        <v>7</v>
      </c>
      <c r="B10" s="7">
        <v>35000</v>
      </c>
    </row>
    <row r="11" spans="1:2" x14ac:dyDescent="0.25">
      <c r="A11" s="6">
        <v>8</v>
      </c>
      <c r="B11" s="7">
        <v>30000</v>
      </c>
    </row>
    <row r="12" spans="1:2" x14ac:dyDescent="0.25">
      <c r="A12" s="6">
        <v>9</v>
      </c>
      <c r="B12" s="7">
        <v>38000</v>
      </c>
    </row>
    <row r="13" spans="1:2" x14ac:dyDescent="0.25">
      <c r="A13" s="6">
        <v>10</v>
      </c>
      <c r="B13" s="7">
        <v>30000</v>
      </c>
    </row>
    <row r="14" spans="1:2" x14ac:dyDescent="0.25">
      <c r="A14" s="6">
        <v>11</v>
      </c>
      <c r="B14" s="7">
        <v>25000</v>
      </c>
    </row>
    <row r="15" spans="1:2" x14ac:dyDescent="0.25">
      <c r="A15" s="6">
        <v>12</v>
      </c>
      <c r="B15" s="7">
        <v>25000</v>
      </c>
    </row>
    <row r="16" spans="1:2" x14ac:dyDescent="0.25">
      <c r="A16" s="6">
        <v>13</v>
      </c>
      <c r="B16" s="7">
        <v>25000</v>
      </c>
    </row>
    <row r="17" spans="1:2" x14ac:dyDescent="0.25">
      <c r="A17" s="6">
        <v>14</v>
      </c>
      <c r="B17" s="7">
        <v>25000</v>
      </c>
    </row>
    <row r="18" spans="1:2" x14ac:dyDescent="0.25">
      <c r="A18" s="6">
        <v>15</v>
      </c>
      <c r="B18" s="7">
        <v>25000</v>
      </c>
    </row>
    <row r="19" spans="1:2" x14ac:dyDescent="0.25">
      <c r="A19" s="6">
        <v>16</v>
      </c>
      <c r="B19" s="7">
        <v>25000</v>
      </c>
    </row>
    <row r="20" spans="1:2" x14ac:dyDescent="0.25">
      <c r="A20" s="6">
        <v>17</v>
      </c>
      <c r="B20" s="7">
        <v>25000</v>
      </c>
    </row>
    <row r="21" spans="1:2" x14ac:dyDescent="0.25">
      <c r="A21" s="6">
        <v>18</v>
      </c>
      <c r="B21" s="7">
        <v>25000</v>
      </c>
    </row>
    <row r="22" spans="1:2" x14ac:dyDescent="0.25">
      <c r="A22" s="6">
        <v>19</v>
      </c>
      <c r="B22" s="7">
        <v>25000</v>
      </c>
    </row>
    <row r="23" spans="1:2" x14ac:dyDescent="0.25">
      <c r="A23" s="6">
        <v>20</v>
      </c>
      <c r="B23" s="7">
        <v>25000</v>
      </c>
    </row>
    <row r="24" spans="1:2" x14ac:dyDescent="0.25">
      <c r="A24" s="6">
        <v>21</v>
      </c>
      <c r="B24" s="7">
        <v>25000</v>
      </c>
    </row>
    <row r="25" spans="1:2" x14ac:dyDescent="0.25">
      <c r="A25" s="6">
        <v>22</v>
      </c>
      <c r="B25" s="7">
        <v>25000</v>
      </c>
    </row>
    <row r="26" spans="1:2" x14ac:dyDescent="0.25">
      <c r="A26" s="6">
        <v>23</v>
      </c>
      <c r="B26" s="7">
        <v>25000</v>
      </c>
    </row>
    <row r="27" spans="1:2" x14ac:dyDescent="0.25">
      <c r="A27" s="6">
        <v>24</v>
      </c>
      <c r="B27" s="7">
        <v>25000</v>
      </c>
    </row>
    <row r="28" spans="1:2" x14ac:dyDescent="0.25">
      <c r="A28" s="6">
        <v>25</v>
      </c>
      <c r="B28" s="7">
        <v>25000</v>
      </c>
    </row>
    <row r="29" spans="1:2" x14ac:dyDescent="0.25">
      <c r="A29" s="6">
        <v>26</v>
      </c>
      <c r="B29" s="7">
        <v>25000</v>
      </c>
    </row>
    <row r="30" spans="1:2" x14ac:dyDescent="0.25">
      <c r="A30" s="6">
        <v>27</v>
      </c>
      <c r="B30" s="7">
        <v>25000</v>
      </c>
    </row>
    <row r="31" spans="1:2" x14ac:dyDescent="0.25">
      <c r="A31" s="6">
        <v>28</v>
      </c>
      <c r="B31" s="7">
        <v>25000</v>
      </c>
    </row>
    <row r="32" spans="1:2" x14ac:dyDescent="0.25">
      <c r="A32" s="6">
        <v>29</v>
      </c>
      <c r="B32" s="7">
        <v>25000</v>
      </c>
    </row>
    <row r="33" spans="1:2" x14ac:dyDescent="0.25">
      <c r="A33" s="6">
        <v>30</v>
      </c>
      <c r="B33" s="7">
        <v>25000</v>
      </c>
    </row>
    <row r="34" spans="1:2" x14ac:dyDescent="0.25">
      <c r="A34" s="6">
        <v>31</v>
      </c>
      <c r="B34" s="7">
        <v>25000</v>
      </c>
    </row>
    <row r="35" spans="1:2" x14ac:dyDescent="0.25">
      <c r="A35" s="6">
        <v>32</v>
      </c>
      <c r="B35" s="7">
        <v>25000</v>
      </c>
    </row>
    <row r="36" spans="1:2" x14ac:dyDescent="0.25">
      <c r="A36" s="6">
        <v>33</v>
      </c>
      <c r="B36" s="7">
        <v>25000</v>
      </c>
    </row>
    <row r="37" spans="1:2" x14ac:dyDescent="0.25">
      <c r="A37" s="6">
        <v>34</v>
      </c>
      <c r="B37" s="7">
        <v>25000</v>
      </c>
    </row>
    <row r="38" spans="1:2" x14ac:dyDescent="0.25">
      <c r="A38" s="6">
        <v>35</v>
      </c>
      <c r="B38" s="7">
        <v>25000</v>
      </c>
    </row>
    <row r="39" spans="1:2" x14ac:dyDescent="0.25">
      <c r="A39" s="6">
        <v>36</v>
      </c>
      <c r="B39" s="7">
        <v>25000</v>
      </c>
    </row>
    <row r="40" spans="1:2" x14ac:dyDescent="0.25">
      <c r="A40" s="6">
        <v>37</v>
      </c>
      <c r="B40" s="7">
        <v>25000</v>
      </c>
    </row>
    <row r="41" spans="1:2" x14ac:dyDescent="0.25">
      <c r="A41" s="6">
        <v>38</v>
      </c>
      <c r="B41" s="7">
        <v>25000</v>
      </c>
    </row>
    <row r="42" spans="1:2" x14ac:dyDescent="0.25">
      <c r="A42" s="6">
        <v>39</v>
      </c>
      <c r="B42" s="7">
        <v>25000</v>
      </c>
    </row>
    <row r="43" spans="1:2" x14ac:dyDescent="0.25">
      <c r="A43" s="6">
        <v>40</v>
      </c>
      <c r="B43" s="7">
        <v>25000</v>
      </c>
    </row>
    <row r="44" spans="1:2" x14ac:dyDescent="0.25">
      <c r="A44" s="6">
        <v>41</v>
      </c>
      <c r="B44" s="7">
        <v>25000</v>
      </c>
    </row>
    <row r="45" spans="1:2" x14ac:dyDescent="0.25">
      <c r="A45" s="6">
        <v>42</v>
      </c>
      <c r="B45" s="7">
        <v>25000</v>
      </c>
    </row>
    <row r="46" spans="1:2" x14ac:dyDescent="0.25">
      <c r="A46" s="6">
        <v>43</v>
      </c>
      <c r="B46" s="7">
        <v>25000</v>
      </c>
    </row>
    <row r="47" spans="1:2" x14ac:dyDescent="0.25">
      <c r="A47" s="6">
        <v>44</v>
      </c>
      <c r="B47" s="7">
        <v>25000</v>
      </c>
    </row>
    <row r="48" spans="1:2" x14ac:dyDescent="0.25">
      <c r="A48" s="6">
        <v>45</v>
      </c>
      <c r="B48" s="7">
        <v>25000</v>
      </c>
    </row>
    <row r="49" spans="1:2" x14ac:dyDescent="0.25">
      <c r="A49" s="6">
        <v>46</v>
      </c>
      <c r="B49" s="7">
        <v>25000</v>
      </c>
    </row>
    <row r="50" spans="1:2" x14ac:dyDescent="0.25">
      <c r="A50" s="6">
        <v>47</v>
      </c>
      <c r="B50" s="7">
        <v>25000</v>
      </c>
    </row>
    <row r="51" spans="1:2" x14ac:dyDescent="0.25">
      <c r="A51" s="6">
        <v>48</v>
      </c>
      <c r="B51" s="7">
        <v>25000</v>
      </c>
    </row>
    <row r="52" spans="1:2" x14ac:dyDescent="0.25">
      <c r="A52" s="6">
        <v>49</v>
      </c>
      <c r="B52" s="7">
        <v>25000</v>
      </c>
    </row>
    <row r="53" spans="1:2" x14ac:dyDescent="0.25">
      <c r="A53" s="6">
        <v>50</v>
      </c>
      <c r="B53" s="7">
        <v>25000</v>
      </c>
    </row>
    <row r="54" spans="1:2" x14ac:dyDescent="0.25">
      <c r="A54" s="6">
        <v>51</v>
      </c>
      <c r="B54" s="7">
        <v>25000</v>
      </c>
    </row>
    <row r="55" spans="1:2" x14ac:dyDescent="0.25">
      <c r="A55" s="6">
        <v>52</v>
      </c>
      <c r="B55" s="7">
        <v>25000</v>
      </c>
    </row>
    <row r="56" spans="1:2" x14ac:dyDescent="0.25">
      <c r="A56" s="6">
        <v>53</v>
      </c>
      <c r="B56" s="7">
        <v>25000</v>
      </c>
    </row>
    <row r="57" spans="1:2" x14ac:dyDescent="0.25">
      <c r="A57" s="6">
        <v>54</v>
      </c>
      <c r="B57" s="7">
        <v>25000</v>
      </c>
    </row>
    <row r="58" spans="1:2" x14ac:dyDescent="0.25">
      <c r="A58" s="6">
        <v>55</v>
      </c>
      <c r="B58" s="7">
        <v>25000</v>
      </c>
    </row>
    <row r="59" spans="1:2" x14ac:dyDescent="0.25">
      <c r="A59" s="6">
        <v>56</v>
      </c>
      <c r="B59" s="7">
        <v>25000</v>
      </c>
    </row>
    <row r="60" spans="1:2" x14ac:dyDescent="0.25">
      <c r="A60" s="6">
        <v>57</v>
      </c>
      <c r="B60" s="7">
        <v>25000</v>
      </c>
    </row>
    <row r="61" spans="1:2" x14ac:dyDescent="0.25">
      <c r="A61" s="6">
        <v>58</v>
      </c>
      <c r="B61" s="7">
        <v>25000</v>
      </c>
    </row>
    <row r="62" spans="1:2" x14ac:dyDescent="0.25">
      <c r="A62" s="6">
        <v>59</v>
      </c>
      <c r="B62" s="7">
        <v>25000</v>
      </c>
    </row>
    <row r="63" spans="1:2" x14ac:dyDescent="0.25">
      <c r="A63" s="6">
        <v>60</v>
      </c>
      <c r="B63" s="7">
        <v>25000</v>
      </c>
    </row>
    <row r="64" spans="1:2" x14ac:dyDescent="0.25">
      <c r="A64" s="6">
        <v>61</v>
      </c>
      <c r="B64" s="7">
        <v>25000</v>
      </c>
    </row>
    <row r="65" spans="1:2" x14ac:dyDescent="0.25">
      <c r="A65" s="6">
        <v>62</v>
      </c>
      <c r="B65" s="7">
        <v>25000</v>
      </c>
    </row>
    <row r="66" spans="1:2" x14ac:dyDescent="0.25">
      <c r="A66" s="6">
        <v>63</v>
      </c>
      <c r="B66" s="7">
        <v>25000</v>
      </c>
    </row>
    <row r="67" spans="1:2" x14ac:dyDescent="0.25">
      <c r="A67" s="6">
        <v>64</v>
      </c>
      <c r="B67" s="7">
        <v>25000</v>
      </c>
    </row>
    <row r="68" spans="1:2" x14ac:dyDescent="0.25">
      <c r="A68" s="6">
        <v>65</v>
      </c>
      <c r="B68" s="7">
        <v>25000</v>
      </c>
    </row>
    <row r="69" spans="1:2" x14ac:dyDescent="0.25">
      <c r="A69" s="6">
        <v>66</v>
      </c>
      <c r="B69" s="7">
        <v>25000</v>
      </c>
    </row>
    <row r="70" spans="1:2" x14ac:dyDescent="0.25">
      <c r="A70" s="6">
        <v>67</v>
      </c>
      <c r="B70" s="7">
        <v>25000</v>
      </c>
    </row>
    <row r="71" spans="1:2" x14ac:dyDescent="0.25">
      <c r="A71" s="6">
        <v>68</v>
      </c>
      <c r="B71" s="7">
        <v>25000</v>
      </c>
    </row>
    <row r="72" spans="1:2" x14ac:dyDescent="0.25">
      <c r="A72" s="6">
        <v>69</v>
      </c>
      <c r="B72" s="7">
        <v>25000</v>
      </c>
    </row>
    <row r="73" spans="1:2" x14ac:dyDescent="0.25">
      <c r="A73" s="6">
        <v>70</v>
      </c>
      <c r="B73" s="7">
        <v>25000</v>
      </c>
    </row>
    <row r="74" spans="1:2" x14ac:dyDescent="0.25">
      <c r="A74" s="6">
        <v>71</v>
      </c>
      <c r="B74" s="7">
        <v>25000</v>
      </c>
    </row>
    <row r="75" spans="1:2" x14ac:dyDescent="0.25">
      <c r="A75" s="6">
        <v>72</v>
      </c>
      <c r="B75" s="7">
        <v>25000</v>
      </c>
    </row>
    <row r="76" spans="1:2" x14ac:dyDescent="0.25">
      <c r="A76" s="6">
        <v>73</v>
      </c>
      <c r="B76" s="7">
        <v>25000</v>
      </c>
    </row>
    <row r="77" spans="1:2" x14ac:dyDescent="0.25">
      <c r="A77" s="6">
        <v>74</v>
      </c>
      <c r="B77" s="7">
        <v>25000</v>
      </c>
    </row>
    <row r="78" spans="1:2" x14ac:dyDescent="0.25">
      <c r="A78" s="6">
        <v>75</v>
      </c>
      <c r="B78" s="7">
        <v>25000</v>
      </c>
    </row>
    <row r="79" spans="1:2" x14ac:dyDescent="0.25">
      <c r="A79" s="6">
        <v>76</v>
      </c>
      <c r="B79" s="7">
        <v>25000</v>
      </c>
    </row>
    <row r="80" spans="1:2" x14ac:dyDescent="0.25">
      <c r="A80" s="6">
        <v>77</v>
      </c>
      <c r="B80" s="7">
        <v>25000</v>
      </c>
    </row>
    <row r="81" spans="1:2" x14ac:dyDescent="0.25">
      <c r="A81" s="6">
        <v>78</v>
      </c>
      <c r="B81" s="7">
        <v>25000</v>
      </c>
    </row>
    <row r="82" spans="1:2" x14ac:dyDescent="0.25">
      <c r="A82" s="6">
        <v>79</v>
      </c>
      <c r="B82" s="7">
        <v>25000</v>
      </c>
    </row>
    <row r="83" spans="1:2" x14ac:dyDescent="0.25">
      <c r="A83" s="6">
        <v>80</v>
      </c>
      <c r="B83" s="7">
        <v>25000</v>
      </c>
    </row>
    <row r="84" spans="1:2" x14ac:dyDescent="0.25">
      <c r="A84" s="6">
        <v>81</v>
      </c>
      <c r="B84" s="7">
        <v>25000</v>
      </c>
    </row>
    <row r="85" spans="1:2" x14ac:dyDescent="0.25">
      <c r="A85" s="6">
        <v>82</v>
      </c>
      <c r="B85" s="7">
        <v>25000</v>
      </c>
    </row>
    <row r="86" spans="1:2" x14ac:dyDescent="0.25">
      <c r="A86" s="6">
        <v>83</v>
      </c>
      <c r="B86" s="7">
        <v>25000</v>
      </c>
    </row>
    <row r="87" spans="1:2" x14ac:dyDescent="0.25">
      <c r="A87" s="6">
        <v>84</v>
      </c>
      <c r="B87" s="7">
        <v>25000</v>
      </c>
    </row>
    <row r="88" spans="1:2" x14ac:dyDescent="0.25">
      <c r="A88" s="6">
        <v>85</v>
      </c>
      <c r="B88" s="7">
        <v>25000</v>
      </c>
    </row>
    <row r="89" spans="1:2" x14ac:dyDescent="0.25">
      <c r="A89" s="6">
        <v>86</v>
      </c>
      <c r="B89" s="7">
        <v>25000</v>
      </c>
    </row>
    <row r="90" spans="1:2" x14ac:dyDescent="0.25">
      <c r="A90" s="6">
        <v>87</v>
      </c>
      <c r="B90" s="7">
        <v>25000</v>
      </c>
    </row>
    <row r="91" spans="1:2" x14ac:dyDescent="0.25">
      <c r="A91" s="6">
        <v>88</v>
      </c>
      <c r="B91" s="7">
        <v>25000</v>
      </c>
    </row>
    <row r="92" spans="1:2" x14ac:dyDescent="0.25">
      <c r="A92" s="6">
        <v>89</v>
      </c>
      <c r="B92" s="7">
        <v>25000</v>
      </c>
    </row>
    <row r="93" spans="1:2" x14ac:dyDescent="0.25">
      <c r="A93" s="6">
        <v>90</v>
      </c>
      <c r="B93" s="7">
        <v>25000</v>
      </c>
    </row>
    <row r="94" spans="1:2" x14ac:dyDescent="0.25">
      <c r="A94" s="6">
        <v>91</v>
      </c>
      <c r="B94" s="7">
        <v>25000</v>
      </c>
    </row>
    <row r="95" spans="1:2" x14ac:dyDescent="0.25">
      <c r="A95" s="6">
        <v>92</v>
      </c>
      <c r="B95" s="7">
        <v>25000</v>
      </c>
    </row>
    <row r="96" spans="1:2" x14ac:dyDescent="0.25">
      <c r="A96" s="6">
        <v>93</v>
      </c>
      <c r="B96" s="7">
        <v>25000</v>
      </c>
    </row>
    <row r="97" spans="1:2" x14ac:dyDescent="0.25">
      <c r="A97" s="6">
        <v>94</v>
      </c>
      <c r="B97" s="7">
        <v>25000</v>
      </c>
    </row>
    <row r="98" spans="1:2" x14ac:dyDescent="0.25">
      <c r="A98" s="6">
        <v>95</v>
      </c>
      <c r="B98" s="7">
        <v>25000</v>
      </c>
    </row>
    <row r="99" spans="1:2" x14ac:dyDescent="0.25">
      <c r="A99" s="6">
        <v>96</v>
      </c>
      <c r="B99" s="7">
        <v>25000</v>
      </c>
    </row>
    <row r="100" spans="1:2" x14ac:dyDescent="0.25">
      <c r="A100" s="6">
        <v>97</v>
      </c>
      <c r="B100" s="7">
        <v>25000</v>
      </c>
    </row>
    <row r="101" spans="1:2" x14ac:dyDescent="0.25">
      <c r="A101" s="6">
        <v>98</v>
      </c>
      <c r="B101" s="7">
        <v>25000</v>
      </c>
    </row>
    <row r="102" spans="1:2" x14ac:dyDescent="0.25">
      <c r="A102" s="6">
        <v>99</v>
      </c>
      <c r="B102" s="7">
        <v>25000</v>
      </c>
    </row>
    <row r="103" spans="1:2" x14ac:dyDescent="0.25">
      <c r="A103" s="6">
        <v>100</v>
      </c>
      <c r="B103" s="7">
        <v>25000</v>
      </c>
    </row>
    <row r="104" spans="1:2" x14ac:dyDescent="0.25">
      <c r="A104" s="6" t="s">
        <v>68</v>
      </c>
      <c r="B104" s="7"/>
    </row>
    <row r="105" spans="1:2" x14ac:dyDescent="0.25">
      <c r="A105" s="6" t="s">
        <v>71</v>
      </c>
      <c r="B105" s="7"/>
    </row>
    <row r="106" spans="1:2" x14ac:dyDescent="0.25">
      <c r="A106" s="6" t="s">
        <v>61</v>
      </c>
      <c r="B106" s="7"/>
    </row>
    <row r="107" spans="1:2" x14ac:dyDescent="0.25">
      <c r="A107" s="6" t="s">
        <v>64</v>
      </c>
      <c r="B107" s="7"/>
    </row>
    <row r="108" spans="1:2" x14ac:dyDescent="0.25">
      <c r="A108" s="6" t="s">
        <v>69</v>
      </c>
      <c r="B108" s="7"/>
    </row>
    <row r="109" spans="1:2" x14ac:dyDescent="0.25">
      <c r="A109" s="6" t="s">
        <v>72</v>
      </c>
      <c r="B109" s="7"/>
    </row>
    <row r="110" spans="1:2" x14ac:dyDescent="0.25">
      <c r="A110" s="6" t="s">
        <v>66</v>
      </c>
      <c r="B110" s="7"/>
    </row>
    <row r="111" spans="1:2" x14ac:dyDescent="0.25">
      <c r="A111" s="6" t="s">
        <v>62</v>
      </c>
      <c r="B111" s="7"/>
    </row>
    <row r="112" spans="1:2" x14ac:dyDescent="0.25">
      <c r="A112" s="6" t="s">
        <v>70</v>
      </c>
      <c r="B112" s="7"/>
    </row>
    <row r="113" spans="1:2" x14ac:dyDescent="0.25">
      <c r="A113" s="6" t="s">
        <v>67</v>
      </c>
      <c r="B113" s="7"/>
    </row>
    <row r="114" spans="1:2" x14ac:dyDescent="0.25">
      <c r="A114" s="6" t="s">
        <v>63</v>
      </c>
      <c r="B114" s="7"/>
    </row>
    <row r="115" spans="1:2" x14ac:dyDescent="0.25">
      <c r="A115" s="6" t="s">
        <v>73</v>
      </c>
      <c r="B115" s="7"/>
    </row>
    <row r="116" spans="1:2" x14ac:dyDescent="0.25">
      <c r="A116" s="6" t="s">
        <v>59</v>
      </c>
      <c r="B116" s="7"/>
    </row>
    <row r="117" spans="1:2" x14ac:dyDescent="0.25">
      <c r="A117" s="6" t="s">
        <v>65</v>
      </c>
      <c r="B117" s="7"/>
    </row>
    <row r="118" spans="1:2" x14ac:dyDescent="0.25">
      <c r="A118" s="6" t="s">
        <v>60</v>
      </c>
      <c r="B118" s="7"/>
    </row>
    <row r="119" spans="1:2" x14ac:dyDescent="0.25">
      <c r="A119" s="6" t="s">
        <v>75</v>
      </c>
      <c r="B119" s="7">
        <v>2703000</v>
      </c>
    </row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6"/>
  <sheetViews>
    <sheetView rightToLeft="1" topLeftCell="A27" workbookViewId="0">
      <selection activeCell="A6" sqref="A6"/>
    </sheetView>
  </sheetViews>
  <sheetFormatPr defaultRowHeight="15" x14ac:dyDescent="0.25"/>
  <cols>
    <col min="1" max="1" width="18.85546875" customWidth="1"/>
    <col min="2" max="2" width="15.5703125" customWidth="1"/>
    <col min="3" max="3" width="16.85546875" customWidth="1"/>
    <col min="4" max="4" width="17.5703125" customWidth="1"/>
    <col min="5" max="5" width="18.7109375" customWidth="1"/>
    <col min="6" max="6" width="12.140625" customWidth="1"/>
    <col min="7" max="7" width="16.85546875" customWidth="1"/>
    <col min="8" max="8" width="21.85546875" customWidth="1"/>
    <col min="9" max="9" width="19" customWidth="1"/>
    <col min="10" max="10" width="14.7109375" customWidth="1"/>
    <col min="11" max="11" width="20.5703125" customWidth="1"/>
    <col min="12" max="12" width="21.5703125" customWidth="1"/>
    <col min="13" max="13" width="19.28515625" customWidth="1"/>
    <col min="14" max="14" width="17" bestFit="1" customWidth="1"/>
    <col min="15" max="15" width="30.5703125" customWidth="1"/>
    <col min="16" max="16" width="19.7109375" customWidth="1"/>
    <col min="17" max="17" width="18.5703125" customWidth="1"/>
    <col min="18" max="18" width="19.140625" customWidth="1"/>
    <col min="19" max="19" width="20.85546875" customWidth="1"/>
    <col min="20" max="20" width="17" customWidth="1"/>
    <col min="21" max="21" width="21.5703125" customWidth="1"/>
    <col min="22" max="22" width="19.7109375" customWidth="1"/>
    <col min="23" max="23" width="16.28515625" customWidth="1"/>
    <col min="24" max="24" width="22.7109375" customWidth="1"/>
    <col min="25" max="25" width="19.5703125" customWidth="1"/>
    <col min="26" max="26" width="19.140625" customWidth="1"/>
  </cols>
  <sheetData>
    <row r="1" spans="1:26" x14ac:dyDescent="0.25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32</v>
      </c>
      <c r="G1" s="1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</row>
    <row r="2" spans="1:26" x14ac:dyDescent="0.25">
      <c r="A2" s="1">
        <v>1</v>
      </c>
      <c r="B2" s="1" t="s">
        <v>2</v>
      </c>
      <c r="C2" s="1" t="s">
        <v>3</v>
      </c>
      <c r="D2" s="1">
        <v>250000</v>
      </c>
      <c r="E2" s="1">
        <v>150000</v>
      </c>
      <c r="F2" s="1">
        <f>D2-E2</f>
        <v>100000</v>
      </c>
      <c r="G2" s="1">
        <f>F2/D2</f>
        <v>0.4</v>
      </c>
      <c r="H2" s="1">
        <v>2</v>
      </c>
      <c r="I2" s="1">
        <v>4</v>
      </c>
      <c r="J2" s="1" t="s">
        <v>38</v>
      </c>
      <c r="K2" s="3" t="s">
        <v>43</v>
      </c>
      <c r="L2" s="1">
        <v>98</v>
      </c>
      <c r="M2" s="1">
        <v>12</v>
      </c>
      <c r="N2" s="1">
        <v>3000</v>
      </c>
      <c r="O2" s="1">
        <v>85000</v>
      </c>
      <c r="P2" s="1">
        <v>72000</v>
      </c>
      <c r="Q2" s="1">
        <v>5000</v>
      </c>
      <c r="R2" s="1">
        <v>9</v>
      </c>
      <c r="S2" s="1" t="s">
        <v>54</v>
      </c>
      <c r="T2" s="1" t="s">
        <v>54</v>
      </c>
      <c r="U2" s="1" t="s">
        <v>55</v>
      </c>
      <c r="V2" s="1">
        <v>4</v>
      </c>
      <c r="W2" s="1">
        <v>2</v>
      </c>
      <c r="X2" s="1">
        <v>8</v>
      </c>
      <c r="Y2" s="1">
        <v>8</v>
      </c>
      <c r="Z2" s="1" t="s">
        <v>40</v>
      </c>
    </row>
    <row r="3" spans="1:26" x14ac:dyDescent="0.25">
      <c r="A3" s="1">
        <v>2</v>
      </c>
      <c r="B3" s="1" t="s">
        <v>2</v>
      </c>
      <c r="C3" s="1" t="s">
        <v>4</v>
      </c>
      <c r="D3" s="1">
        <v>180000</v>
      </c>
      <c r="E3" s="1">
        <v>120000</v>
      </c>
      <c r="F3" s="1">
        <f t="shared" ref="F3:F66" si="0">D3-E3</f>
        <v>60000</v>
      </c>
      <c r="G3" s="1">
        <f t="shared" ref="G3:G66" si="1">(D3-E3)/D3</f>
        <v>0.33333333333333331</v>
      </c>
      <c r="H3" s="1">
        <v>2</v>
      </c>
      <c r="I3" s="1">
        <v>3</v>
      </c>
      <c r="J3" s="1" t="s">
        <v>38</v>
      </c>
      <c r="K3" s="1" t="s">
        <v>43</v>
      </c>
      <c r="L3" s="1">
        <v>95</v>
      </c>
      <c r="M3" s="1">
        <v>10</v>
      </c>
      <c r="N3" s="1">
        <v>2500</v>
      </c>
      <c r="O3" s="1">
        <v>78000</v>
      </c>
      <c r="P3" s="1">
        <v>68000</v>
      </c>
      <c r="Q3" s="1">
        <v>4500</v>
      </c>
      <c r="R3" s="1">
        <v>8</v>
      </c>
      <c r="S3" s="1" t="s">
        <v>56</v>
      </c>
      <c r="T3" s="1" t="s">
        <v>54</v>
      </c>
      <c r="U3" s="1" t="s">
        <v>55</v>
      </c>
      <c r="V3" s="1">
        <v>5</v>
      </c>
      <c r="W3" s="1">
        <v>5</v>
      </c>
      <c r="X3" s="1">
        <v>12</v>
      </c>
      <c r="Y3" s="1">
        <v>9</v>
      </c>
      <c r="Z3" s="1" t="s">
        <v>42</v>
      </c>
    </row>
    <row r="4" spans="1:26" x14ac:dyDescent="0.25">
      <c r="A4" s="1">
        <v>3</v>
      </c>
      <c r="B4" s="1" t="s">
        <v>2</v>
      </c>
      <c r="C4" s="1" t="s">
        <v>5</v>
      </c>
      <c r="D4" s="1">
        <v>170000</v>
      </c>
      <c r="E4" s="1">
        <v>110000</v>
      </c>
      <c r="F4" s="1">
        <f t="shared" si="0"/>
        <v>60000</v>
      </c>
      <c r="G4" s="1">
        <f t="shared" si="1"/>
        <v>0.35294117647058826</v>
      </c>
      <c r="H4" s="1">
        <v>7</v>
      </c>
      <c r="I4" s="1">
        <v>6</v>
      </c>
      <c r="J4" s="1" t="s">
        <v>40</v>
      </c>
      <c r="K4" s="1" t="s">
        <v>41</v>
      </c>
      <c r="L4" s="1">
        <v>92</v>
      </c>
      <c r="M4" s="1">
        <v>8</v>
      </c>
      <c r="N4" s="1">
        <v>2000</v>
      </c>
      <c r="O4" s="1">
        <v>70000</v>
      </c>
      <c r="P4" s="1">
        <v>65000</v>
      </c>
      <c r="Q4" s="1">
        <v>4000</v>
      </c>
      <c r="R4" s="1">
        <v>8</v>
      </c>
      <c r="S4" s="1" t="s">
        <v>54</v>
      </c>
      <c r="T4" s="1" t="s">
        <v>56</v>
      </c>
      <c r="U4" s="1" t="s">
        <v>55</v>
      </c>
      <c r="V4" s="1">
        <v>3</v>
      </c>
      <c r="W4" s="1">
        <v>1</v>
      </c>
      <c r="X4" s="1">
        <v>5</v>
      </c>
      <c r="Y4" s="1">
        <v>7</v>
      </c>
      <c r="Z4" s="1" t="s">
        <v>38</v>
      </c>
    </row>
    <row r="5" spans="1:26" x14ac:dyDescent="0.25">
      <c r="A5" s="1">
        <v>4</v>
      </c>
      <c r="B5" s="1" t="s">
        <v>6</v>
      </c>
      <c r="C5" s="1" t="s">
        <v>8</v>
      </c>
      <c r="D5" s="1">
        <v>120000</v>
      </c>
      <c r="E5" s="1">
        <v>85000</v>
      </c>
      <c r="F5" s="1">
        <f t="shared" si="0"/>
        <v>35000</v>
      </c>
      <c r="G5" s="1">
        <f t="shared" si="1"/>
        <v>0.29166666666666669</v>
      </c>
      <c r="H5" s="1">
        <v>6</v>
      </c>
      <c r="I5" s="1">
        <v>5</v>
      </c>
      <c r="J5" s="1" t="s">
        <v>40</v>
      </c>
      <c r="K5" s="1" t="s">
        <v>41</v>
      </c>
      <c r="L5" s="1">
        <v>88</v>
      </c>
      <c r="M5" s="1">
        <v>15</v>
      </c>
      <c r="N5" s="1">
        <v>3500</v>
      </c>
      <c r="O5" s="1">
        <v>65000</v>
      </c>
      <c r="P5" s="1">
        <v>62000</v>
      </c>
      <c r="Q5" s="1">
        <v>3500</v>
      </c>
      <c r="R5" s="1">
        <v>7</v>
      </c>
      <c r="S5" s="1" t="s">
        <v>56</v>
      </c>
      <c r="T5" s="1" t="s">
        <v>56</v>
      </c>
      <c r="U5" s="1" t="s">
        <v>55</v>
      </c>
      <c r="V5" s="1">
        <v>4</v>
      </c>
      <c r="W5" s="1">
        <v>0</v>
      </c>
      <c r="X5" s="1">
        <v>10</v>
      </c>
      <c r="Y5" s="1">
        <v>10</v>
      </c>
      <c r="Z5" s="1" t="s">
        <v>40</v>
      </c>
    </row>
    <row r="6" spans="1:26" x14ac:dyDescent="0.25">
      <c r="A6" s="1">
        <v>5</v>
      </c>
      <c r="B6" s="1" t="s">
        <v>6</v>
      </c>
      <c r="C6" s="1" t="s">
        <v>8</v>
      </c>
      <c r="D6" s="1">
        <v>115000</v>
      </c>
      <c r="E6" s="1">
        <v>80000</v>
      </c>
      <c r="F6" s="1">
        <f t="shared" si="0"/>
        <v>35000</v>
      </c>
      <c r="G6" s="1">
        <f t="shared" si="1"/>
        <v>0.30434782608695654</v>
      </c>
      <c r="H6" s="1">
        <v>5</v>
      </c>
      <c r="I6" s="1">
        <v>6</v>
      </c>
      <c r="J6" s="1" t="s">
        <v>40</v>
      </c>
      <c r="K6" s="1" t="s">
        <v>41</v>
      </c>
      <c r="L6" s="1">
        <v>85</v>
      </c>
      <c r="M6" s="1">
        <v>20</v>
      </c>
      <c r="N6" s="1">
        <v>4000</v>
      </c>
      <c r="O6" s="1">
        <v>60000</v>
      </c>
      <c r="P6" s="1">
        <v>60000</v>
      </c>
      <c r="Q6" s="1">
        <v>3000</v>
      </c>
      <c r="R6" s="1">
        <v>6</v>
      </c>
      <c r="S6" s="1" t="s">
        <v>56</v>
      </c>
      <c r="T6" s="1" t="s">
        <v>54</v>
      </c>
      <c r="U6" s="1" t="s">
        <v>57</v>
      </c>
      <c r="V6" s="1">
        <v>2</v>
      </c>
      <c r="W6" s="1">
        <v>7</v>
      </c>
      <c r="X6" s="1">
        <v>15</v>
      </c>
      <c r="Y6" s="1">
        <v>6</v>
      </c>
      <c r="Z6" s="1" t="s">
        <v>42</v>
      </c>
    </row>
    <row r="7" spans="1:26" x14ac:dyDescent="0.25">
      <c r="A7" s="1">
        <v>6</v>
      </c>
      <c r="B7" s="1" t="s">
        <v>9</v>
      </c>
      <c r="C7" s="1" t="s">
        <v>8</v>
      </c>
      <c r="D7" s="1">
        <v>110000</v>
      </c>
      <c r="E7" s="1">
        <v>80000</v>
      </c>
      <c r="F7" s="1">
        <f t="shared" si="0"/>
        <v>30000</v>
      </c>
      <c r="G7" s="1">
        <f t="shared" si="1"/>
        <v>0.27272727272727271</v>
      </c>
      <c r="H7" s="1">
        <v>4</v>
      </c>
      <c r="I7" s="1">
        <v>10</v>
      </c>
      <c r="J7" s="1" t="s">
        <v>42</v>
      </c>
      <c r="K7" s="1" t="s">
        <v>43</v>
      </c>
      <c r="L7" s="1">
        <v>97</v>
      </c>
      <c r="M7" s="1">
        <v>5</v>
      </c>
      <c r="N7" s="1">
        <v>1500</v>
      </c>
      <c r="O7" s="1">
        <v>90000</v>
      </c>
      <c r="P7" s="1">
        <v>75000</v>
      </c>
      <c r="Q7" s="1">
        <v>6000</v>
      </c>
      <c r="R7" s="1">
        <v>10</v>
      </c>
      <c r="S7" s="1" t="s">
        <v>54</v>
      </c>
      <c r="T7" s="1" t="s">
        <v>54</v>
      </c>
      <c r="U7" s="1" t="s">
        <v>55</v>
      </c>
      <c r="V7" s="1">
        <v>5</v>
      </c>
      <c r="W7" s="1">
        <v>3</v>
      </c>
      <c r="X7" s="1">
        <v>7</v>
      </c>
      <c r="Y7" s="1">
        <v>8</v>
      </c>
      <c r="Z7" s="1" t="s">
        <v>38</v>
      </c>
    </row>
    <row r="8" spans="1:26" x14ac:dyDescent="0.25">
      <c r="A8" s="1">
        <v>7</v>
      </c>
      <c r="B8" s="1" t="s">
        <v>7</v>
      </c>
      <c r="C8" s="1" t="s">
        <v>8</v>
      </c>
      <c r="D8" s="1">
        <v>105000</v>
      </c>
      <c r="E8" s="1">
        <v>70000</v>
      </c>
      <c r="F8" s="1">
        <f t="shared" si="0"/>
        <v>35000</v>
      </c>
      <c r="G8" s="1">
        <f t="shared" si="1"/>
        <v>0.33333333333333331</v>
      </c>
      <c r="H8" s="1">
        <v>3</v>
      </c>
      <c r="I8" s="1">
        <v>10</v>
      </c>
      <c r="J8" s="1" t="s">
        <v>42</v>
      </c>
      <c r="K8" s="1" t="s">
        <v>43</v>
      </c>
      <c r="L8" s="1">
        <v>94</v>
      </c>
      <c r="M8" s="1">
        <v>7</v>
      </c>
      <c r="N8" s="1">
        <v>1800</v>
      </c>
      <c r="O8" s="1">
        <v>82000</v>
      </c>
      <c r="P8" s="1">
        <v>70000</v>
      </c>
      <c r="Q8" s="1">
        <v>4500</v>
      </c>
      <c r="R8" s="1">
        <v>8</v>
      </c>
      <c r="S8" s="1" t="s">
        <v>54</v>
      </c>
      <c r="T8" s="1" t="s">
        <v>56</v>
      </c>
      <c r="U8" s="1" t="s">
        <v>55</v>
      </c>
      <c r="V8" s="1">
        <v>4</v>
      </c>
      <c r="W8" s="1">
        <v>4</v>
      </c>
      <c r="X8" s="1">
        <v>9</v>
      </c>
      <c r="Y8" s="1">
        <v>9</v>
      </c>
      <c r="Z8" s="1" t="s">
        <v>40</v>
      </c>
    </row>
    <row r="9" spans="1:26" x14ac:dyDescent="0.25">
      <c r="A9" s="1">
        <v>8</v>
      </c>
      <c r="B9" s="1" t="s">
        <v>10</v>
      </c>
      <c r="C9" s="1" t="s">
        <v>8</v>
      </c>
      <c r="D9" s="1">
        <v>100000</v>
      </c>
      <c r="E9" s="1">
        <v>70000</v>
      </c>
      <c r="F9" s="1">
        <f t="shared" si="0"/>
        <v>30000</v>
      </c>
      <c r="G9" s="1">
        <f t="shared" si="1"/>
        <v>0.3</v>
      </c>
      <c r="H9" s="1">
        <v>2</v>
      </c>
      <c r="I9" s="1">
        <v>10</v>
      </c>
      <c r="J9" s="1" t="s">
        <v>42</v>
      </c>
      <c r="K9" s="1" t="s">
        <v>43</v>
      </c>
      <c r="L9" s="1">
        <v>91</v>
      </c>
      <c r="M9" s="1">
        <v>9</v>
      </c>
      <c r="N9" s="1">
        <v>2200</v>
      </c>
      <c r="O9" s="1">
        <v>76000</v>
      </c>
      <c r="P9" s="1">
        <v>67000</v>
      </c>
      <c r="Q9" s="1">
        <v>4000</v>
      </c>
      <c r="R9" s="1">
        <v>7</v>
      </c>
      <c r="S9" s="1" t="s">
        <v>56</v>
      </c>
      <c r="T9" s="1" t="s">
        <v>54</v>
      </c>
      <c r="U9" s="1" t="s">
        <v>55</v>
      </c>
      <c r="V9" s="1">
        <v>3</v>
      </c>
      <c r="W9" s="1">
        <v>2</v>
      </c>
      <c r="X9" s="1">
        <v>11</v>
      </c>
      <c r="Y9" s="1">
        <v>7</v>
      </c>
      <c r="Z9" s="1" t="s">
        <v>42</v>
      </c>
    </row>
    <row r="10" spans="1:26" x14ac:dyDescent="0.25">
      <c r="A10" s="1">
        <v>9</v>
      </c>
      <c r="B10" s="1" t="s">
        <v>11</v>
      </c>
      <c r="C10" s="1" t="s">
        <v>8</v>
      </c>
      <c r="D10" s="1">
        <v>98000</v>
      </c>
      <c r="E10" s="1">
        <v>60000</v>
      </c>
      <c r="F10" s="1">
        <f t="shared" si="0"/>
        <v>38000</v>
      </c>
      <c r="G10" s="1">
        <f t="shared" si="1"/>
        <v>0.38775510204081631</v>
      </c>
      <c r="H10" s="1">
        <v>10</v>
      </c>
      <c r="I10" s="1">
        <v>10</v>
      </c>
      <c r="J10" s="1" t="s">
        <v>42</v>
      </c>
      <c r="K10" s="1" t="s">
        <v>39</v>
      </c>
      <c r="L10" s="1">
        <v>89</v>
      </c>
      <c r="M10" s="1">
        <v>11</v>
      </c>
      <c r="N10" s="1">
        <v>2600</v>
      </c>
      <c r="O10" s="1">
        <v>72000</v>
      </c>
      <c r="P10" s="1">
        <v>65000</v>
      </c>
      <c r="Q10" s="1">
        <v>3500</v>
      </c>
      <c r="R10" s="1">
        <v>7</v>
      </c>
      <c r="S10" s="1" t="s">
        <v>56</v>
      </c>
      <c r="T10" s="1" t="s">
        <v>56</v>
      </c>
      <c r="U10" s="1" t="s">
        <v>55</v>
      </c>
      <c r="V10" s="1">
        <v>5</v>
      </c>
      <c r="W10" s="1">
        <v>1</v>
      </c>
      <c r="X10" s="1">
        <v>6</v>
      </c>
      <c r="Y10" s="1">
        <v>8</v>
      </c>
      <c r="Z10" s="1" t="s">
        <v>40</v>
      </c>
    </row>
    <row r="11" spans="1:26" x14ac:dyDescent="0.25">
      <c r="A11" s="1">
        <v>10</v>
      </c>
      <c r="B11" s="1" t="s">
        <v>13</v>
      </c>
      <c r="C11" s="1" t="s">
        <v>8</v>
      </c>
      <c r="D11" s="1">
        <v>95000</v>
      </c>
      <c r="E11" s="1">
        <v>65000</v>
      </c>
      <c r="F11" s="1">
        <f t="shared" si="0"/>
        <v>30000</v>
      </c>
      <c r="G11" s="1">
        <f t="shared" si="1"/>
        <v>0.31578947368421051</v>
      </c>
      <c r="H11" s="1">
        <v>9</v>
      </c>
      <c r="I11" s="1">
        <v>10</v>
      </c>
      <c r="J11" s="1" t="s">
        <v>42</v>
      </c>
      <c r="K11" s="1" t="s">
        <v>39</v>
      </c>
      <c r="L11" s="1">
        <v>83</v>
      </c>
      <c r="M11" s="1">
        <v>18</v>
      </c>
      <c r="N11" s="1">
        <v>3200</v>
      </c>
      <c r="O11" s="1">
        <v>55000</v>
      </c>
      <c r="P11" s="1">
        <v>58000</v>
      </c>
      <c r="Q11" s="1">
        <v>2500</v>
      </c>
      <c r="R11" s="1">
        <v>5</v>
      </c>
      <c r="S11" s="1" t="s">
        <v>56</v>
      </c>
      <c r="T11" s="1" t="s">
        <v>54</v>
      </c>
      <c r="U11" s="1" t="s">
        <v>57</v>
      </c>
      <c r="V11" s="1">
        <v>4</v>
      </c>
      <c r="W11" s="1">
        <v>6</v>
      </c>
      <c r="X11" s="1">
        <v>14</v>
      </c>
      <c r="Y11" s="1">
        <v>10</v>
      </c>
      <c r="Z11" s="1" t="s">
        <v>42</v>
      </c>
    </row>
    <row r="12" spans="1:26" x14ac:dyDescent="0.25">
      <c r="A12" s="1">
        <v>11</v>
      </c>
      <c r="B12" s="1" t="s">
        <v>6</v>
      </c>
      <c r="C12" s="1" t="s">
        <v>12</v>
      </c>
      <c r="D12" s="1">
        <v>90000</v>
      </c>
      <c r="E12" s="1">
        <v>65000</v>
      </c>
      <c r="F12" s="1">
        <f t="shared" si="0"/>
        <v>25000</v>
      </c>
      <c r="G12" s="1">
        <f t="shared" si="1"/>
        <v>0.27777777777777779</v>
      </c>
      <c r="H12" s="1">
        <v>8</v>
      </c>
      <c r="I12" s="1">
        <v>10</v>
      </c>
      <c r="J12" s="1" t="s">
        <v>42</v>
      </c>
      <c r="K12" s="1" t="s">
        <v>39</v>
      </c>
      <c r="L12" s="1">
        <v>99</v>
      </c>
      <c r="M12" s="1">
        <v>4</v>
      </c>
      <c r="N12" s="1">
        <v>1200</v>
      </c>
      <c r="O12" s="1">
        <v>95000</v>
      </c>
      <c r="P12" s="1">
        <v>78000</v>
      </c>
      <c r="Q12" s="1">
        <v>6500</v>
      </c>
      <c r="R12" s="1">
        <v>10</v>
      </c>
      <c r="S12" s="1" t="s">
        <v>54</v>
      </c>
      <c r="T12" s="1" t="s">
        <v>54</v>
      </c>
      <c r="U12" s="1" t="s">
        <v>55</v>
      </c>
      <c r="V12" s="1">
        <v>3</v>
      </c>
      <c r="W12" s="1">
        <v>3</v>
      </c>
      <c r="X12" s="1">
        <v>8</v>
      </c>
      <c r="Y12" s="1">
        <v>6</v>
      </c>
      <c r="Z12" s="1" t="s">
        <v>38</v>
      </c>
    </row>
    <row r="13" spans="1:26" x14ac:dyDescent="0.25">
      <c r="A13" s="1">
        <v>12</v>
      </c>
      <c r="B13" s="1" t="s">
        <v>6</v>
      </c>
      <c r="C13" s="1" t="s">
        <v>12</v>
      </c>
      <c r="D13" s="1">
        <v>89000</v>
      </c>
      <c r="E13" s="1">
        <v>64000</v>
      </c>
      <c r="F13" s="1">
        <f t="shared" si="0"/>
        <v>25000</v>
      </c>
      <c r="G13" s="1">
        <f t="shared" si="1"/>
        <v>0.2808988764044944</v>
      </c>
      <c r="H13" s="1">
        <v>9</v>
      </c>
      <c r="I13" s="1">
        <v>10</v>
      </c>
      <c r="J13" s="1" t="s">
        <v>42</v>
      </c>
      <c r="K13" s="1" t="s">
        <v>39</v>
      </c>
      <c r="L13" s="1">
        <v>96</v>
      </c>
      <c r="M13" s="1">
        <v>6</v>
      </c>
      <c r="N13" s="1">
        <v>1600</v>
      </c>
      <c r="O13" s="1">
        <v>88000</v>
      </c>
      <c r="P13" s="1">
        <v>74000</v>
      </c>
      <c r="Q13" s="1">
        <v>5500</v>
      </c>
      <c r="R13" s="1">
        <v>9</v>
      </c>
      <c r="S13" s="1" t="s">
        <v>54</v>
      </c>
      <c r="T13" s="1" t="s">
        <v>56</v>
      </c>
      <c r="U13" s="1" t="s">
        <v>55</v>
      </c>
      <c r="V13" s="1">
        <v>4</v>
      </c>
      <c r="W13" s="1">
        <v>2</v>
      </c>
      <c r="X13" s="1">
        <v>10</v>
      </c>
      <c r="Y13" s="1">
        <v>9</v>
      </c>
      <c r="Z13" s="1" t="s">
        <v>40</v>
      </c>
    </row>
    <row r="14" spans="1:26" x14ac:dyDescent="0.25">
      <c r="A14" s="1">
        <v>13</v>
      </c>
      <c r="B14" s="1" t="s">
        <v>9</v>
      </c>
      <c r="C14" s="1" t="s">
        <v>12</v>
      </c>
      <c r="D14" s="1">
        <v>88000</v>
      </c>
      <c r="E14" s="1">
        <v>63000</v>
      </c>
      <c r="F14" s="1">
        <f t="shared" si="0"/>
        <v>25000</v>
      </c>
      <c r="G14" s="1">
        <f t="shared" si="1"/>
        <v>0.28409090909090912</v>
      </c>
      <c r="H14" s="1">
        <v>8</v>
      </c>
      <c r="I14" s="1">
        <v>9</v>
      </c>
      <c r="J14" s="1" t="s">
        <v>42</v>
      </c>
      <c r="K14" s="1" t="s">
        <v>39</v>
      </c>
      <c r="L14" s="1">
        <v>93</v>
      </c>
      <c r="M14" s="1">
        <v>8</v>
      </c>
      <c r="N14" s="1">
        <v>2100</v>
      </c>
      <c r="O14" s="1">
        <v>81000</v>
      </c>
      <c r="P14" s="1">
        <v>70000</v>
      </c>
      <c r="Q14" s="1">
        <v>4500</v>
      </c>
      <c r="R14" s="1">
        <v>8</v>
      </c>
      <c r="S14" s="1" t="s">
        <v>54</v>
      </c>
      <c r="T14" s="1" t="s">
        <v>54</v>
      </c>
      <c r="U14" s="1" t="s">
        <v>55</v>
      </c>
      <c r="V14" s="1">
        <v>5</v>
      </c>
      <c r="W14" s="1">
        <v>5</v>
      </c>
      <c r="X14" s="1">
        <v>13</v>
      </c>
      <c r="Y14" s="1">
        <v>8</v>
      </c>
      <c r="Z14" s="1" t="s">
        <v>42</v>
      </c>
    </row>
    <row r="15" spans="1:26" x14ac:dyDescent="0.25">
      <c r="A15" s="1">
        <v>14</v>
      </c>
      <c r="B15" s="1" t="s">
        <v>9</v>
      </c>
      <c r="C15" s="1" t="s">
        <v>12</v>
      </c>
      <c r="D15" s="1">
        <v>87000</v>
      </c>
      <c r="E15" s="1">
        <v>62000</v>
      </c>
      <c r="F15" s="1">
        <f t="shared" si="0"/>
        <v>25000</v>
      </c>
      <c r="G15" s="1">
        <f t="shared" si="1"/>
        <v>0.28735632183908044</v>
      </c>
      <c r="H15" s="1">
        <v>7</v>
      </c>
      <c r="I15" s="1">
        <v>3</v>
      </c>
      <c r="J15" s="1" t="s">
        <v>38</v>
      </c>
      <c r="K15" s="1" t="s">
        <v>41</v>
      </c>
      <c r="L15" s="1">
        <v>90</v>
      </c>
      <c r="M15" s="1">
        <v>10</v>
      </c>
      <c r="N15" s="1">
        <v>2400</v>
      </c>
      <c r="O15" s="1">
        <v>74000</v>
      </c>
      <c r="P15" s="1">
        <v>66000</v>
      </c>
      <c r="Q15" s="1">
        <v>4000</v>
      </c>
      <c r="R15" s="1">
        <v>7</v>
      </c>
      <c r="S15" s="1" t="s">
        <v>56</v>
      </c>
      <c r="T15" s="1" t="s">
        <v>56</v>
      </c>
      <c r="U15" s="1" t="s">
        <v>55</v>
      </c>
      <c r="V15" s="1">
        <v>2</v>
      </c>
      <c r="W15" s="1">
        <v>1</v>
      </c>
      <c r="X15" s="1">
        <v>5</v>
      </c>
      <c r="Y15" s="1">
        <v>7</v>
      </c>
      <c r="Z15" s="1" t="s">
        <v>38</v>
      </c>
    </row>
    <row r="16" spans="1:26" x14ac:dyDescent="0.25">
      <c r="A16" s="1">
        <v>15</v>
      </c>
      <c r="B16" s="1" t="s">
        <v>7</v>
      </c>
      <c r="C16" s="1" t="s">
        <v>12</v>
      </c>
      <c r="D16" s="1">
        <v>86000</v>
      </c>
      <c r="E16" s="1">
        <v>61000</v>
      </c>
      <c r="F16" s="1">
        <f t="shared" si="0"/>
        <v>25000</v>
      </c>
      <c r="G16" s="1">
        <f t="shared" si="1"/>
        <v>0.29069767441860467</v>
      </c>
      <c r="H16" s="1">
        <v>6</v>
      </c>
      <c r="I16" s="1">
        <v>2</v>
      </c>
      <c r="J16" s="1" t="s">
        <v>38</v>
      </c>
      <c r="K16" s="1" t="s">
        <v>41</v>
      </c>
      <c r="L16" s="1">
        <v>87</v>
      </c>
      <c r="M16" s="1">
        <v>14</v>
      </c>
      <c r="N16" s="1">
        <v>2900</v>
      </c>
      <c r="O16" s="1">
        <v>68000</v>
      </c>
      <c r="P16" s="1">
        <v>63000</v>
      </c>
      <c r="Q16" s="1">
        <v>3500</v>
      </c>
      <c r="R16" s="1">
        <v>6</v>
      </c>
      <c r="S16" s="1" t="s">
        <v>56</v>
      </c>
      <c r="T16" s="1" t="s">
        <v>54</v>
      </c>
      <c r="U16" s="1" t="s">
        <v>57</v>
      </c>
      <c r="V16" s="1">
        <v>3</v>
      </c>
      <c r="W16" s="1">
        <v>4</v>
      </c>
      <c r="X16" s="1">
        <v>9</v>
      </c>
      <c r="Y16" s="1">
        <v>10</v>
      </c>
      <c r="Z16" s="1" t="s">
        <v>40</v>
      </c>
    </row>
    <row r="17" spans="1:26" x14ac:dyDescent="0.25">
      <c r="A17" s="1">
        <v>16</v>
      </c>
      <c r="B17" s="1" t="s">
        <v>7</v>
      </c>
      <c r="C17" s="1" t="s">
        <v>12</v>
      </c>
      <c r="D17" s="1">
        <v>85000</v>
      </c>
      <c r="E17" s="1">
        <v>60000</v>
      </c>
      <c r="F17" s="1">
        <f t="shared" si="0"/>
        <v>25000</v>
      </c>
      <c r="G17" s="1">
        <f t="shared" si="1"/>
        <v>0.29411764705882354</v>
      </c>
      <c r="H17" s="1">
        <v>10</v>
      </c>
      <c r="I17" s="1">
        <v>9</v>
      </c>
      <c r="J17" s="1" t="s">
        <v>42</v>
      </c>
      <c r="K17" s="1" t="s">
        <v>39</v>
      </c>
      <c r="L17" s="1">
        <v>84</v>
      </c>
      <c r="M17" s="1">
        <v>16</v>
      </c>
      <c r="N17" s="1">
        <v>3300</v>
      </c>
      <c r="O17" s="1">
        <v>62000</v>
      </c>
      <c r="P17" s="1">
        <v>60000</v>
      </c>
      <c r="Q17" s="1">
        <v>3000</v>
      </c>
      <c r="R17" s="1">
        <v>5</v>
      </c>
      <c r="S17" s="1" t="s">
        <v>56</v>
      </c>
      <c r="T17" s="1" t="s">
        <v>56</v>
      </c>
      <c r="U17" s="1" t="s">
        <v>57</v>
      </c>
      <c r="V17" s="1">
        <v>4</v>
      </c>
      <c r="W17" s="1">
        <v>0</v>
      </c>
      <c r="X17" s="1">
        <v>12</v>
      </c>
      <c r="Y17" s="1">
        <v>8</v>
      </c>
      <c r="Z17" s="1" t="s">
        <v>42</v>
      </c>
    </row>
    <row r="18" spans="1:26" x14ac:dyDescent="0.25">
      <c r="A18" s="1">
        <v>17</v>
      </c>
      <c r="B18" s="1" t="s">
        <v>11</v>
      </c>
      <c r="C18" s="1" t="s">
        <v>12</v>
      </c>
      <c r="D18" s="1">
        <v>84000</v>
      </c>
      <c r="E18" s="1">
        <v>59000</v>
      </c>
      <c r="F18" s="1">
        <f t="shared" si="0"/>
        <v>25000</v>
      </c>
      <c r="G18" s="1">
        <f t="shared" si="1"/>
        <v>0.29761904761904762</v>
      </c>
      <c r="H18" s="1">
        <v>9</v>
      </c>
      <c r="I18" s="1">
        <v>8</v>
      </c>
      <c r="J18" s="1" t="s">
        <v>42</v>
      </c>
      <c r="K18" s="1" t="s">
        <v>39</v>
      </c>
      <c r="L18" s="1">
        <v>98</v>
      </c>
      <c r="M18" s="1">
        <v>5</v>
      </c>
      <c r="N18" s="1">
        <v>1400</v>
      </c>
      <c r="O18" s="1">
        <v>91000</v>
      </c>
      <c r="P18" s="1">
        <v>76000</v>
      </c>
      <c r="Q18" s="1">
        <v>6000</v>
      </c>
      <c r="R18" s="1">
        <v>10</v>
      </c>
      <c r="S18" s="1" t="s">
        <v>54</v>
      </c>
      <c r="T18" s="1" t="s">
        <v>54</v>
      </c>
      <c r="U18" s="1" t="s">
        <v>55</v>
      </c>
      <c r="V18" s="1">
        <v>5</v>
      </c>
      <c r="W18" s="1">
        <v>3</v>
      </c>
      <c r="X18" s="1">
        <v>7</v>
      </c>
      <c r="Y18" s="1">
        <v>9</v>
      </c>
      <c r="Z18" s="1" t="s">
        <v>40</v>
      </c>
    </row>
    <row r="19" spans="1:26" x14ac:dyDescent="0.25">
      <c r="A19" s="1">
        <v>18</v>
      </c>
      <c r="B19" s="1" t="s">
        <v>11</v>
      </c>
      <c r="C19" s="1" t="s">
        <v>12</v>
      </c>
      <c r="D19" s="1">
        <v>83000</v>
      </c>
      <c r="E19" s="1">
        <v>58000</v>
      </c>
      <c r="F19" s="1">
        <f t="shared" si="0"/>
        <v>25000</v>
      </c>
      <c r="G19" s="1">
        <f t="shared" si="1"/>
        <v>0.30120481927710846</v>
      </c>
      <c r="H19" s="1">
        <v>9</v>
      </c>
      <c r="I19" s="1">
        <v>8</v>
      </c>
      <c r="J19" s="1" t="s">
        <v>42</v>
      </c>
      <c r="K19" s="1" t="s">
        <v>39</v>
      </c>
      <c r="L19" s="1">
        <v>95</v>
      </c>
      <c r="M19" s="1">
        <v>7</v>
      </c>
      <c r="N19" s="1">
        <v>1900</v>
      </c>
      <c r="O19" s="1">
        <v>84000</v>
      </c>
      <c r="P19" s="1">
        <v>72000</v>
      </c>
      <c r="Q19" s="1">
        <v>5000</v>
      </c>
      <c r="R19" s="1">
        <v>8</v>
      </c>
      <c r="S19" s="1" t="s">
        <v>54</v>
      </c>
      <c r="T19" s="1" t="s">
        <v>56</v>
      </c>
      <c r="U19" s="1" t="s">
        <v>55</v>
      </c>
      <c r="V19" s="1">
        <v>4</v>
      </c>
      <c r="W19" s="1">
        <v>2</v>
      </c>
      <c r="X19" s="1">
        <v>11</v>
      </c>
      <c r="Y19" s="1">
        <v>7</v>
      </c>
      <c r="Z19" s="1" t="s">
        <v>38</v>
      </c>
    </row>
    <row r="20" spans="1:26" x14ac:dyDescent="0.25">
      <c r="A20" s="1">
        <v>19</v>
      </c>
      <c r="B20" s="1" t="s">
        <v>13</v>
      </c>
      <c r="C20" s="1" t="s">
        <v>12</v>
      </c>
      <c r="D20" s="1">
        <v>82000</v>
      </c>
      <c r="E20" s="1">
        <v>57000</v>
      </c>
      <c r="F20" s="1">
        <f t="shared" si="0"/>
        <v>25000</v>
      </c>
      <c r="G20" s="1">
        <f t="shared" si="1"/>
        <v>0.3048780487804878</v>
      </c>
      <c r="H20" s="1">
        <v>9</v>
      </c>
      <c r="I20" s="1">
        <v>9</v>
      </c>
      <c r="J20" s="1" t="s">
        <v>42</v>
      </c>
      <c r="K20" s="1" t="s">
        <v>39</v>
      </c>
      <c r="L20" s="1">
        <v>92</v>
      </c>
      <c r="M20" s="1">
        <v>9</v>
      </c>
      <c r="N20" s="1">
        <v>2300</v>
      </c>
      <c r="O20" s="1">
        <v>77000</v>
      </c>
      <c r="P20" s="1">
        <v>68000</v>
      </c>
      <c r="Q20" s="1">
        <v>4500</v>
      </c>
      <c r="R20" s="1">
        <v>7</v>
      </c>
      <c r="S20" s="1" t="s">
        <v>56</v>
      </c>
      <c r="T20" s="1" t="s">
        <v>54</v>
      </c>
      <c r="U20" s="1" t="s">
        <v>55</v>
      </c>
      <c r="V20" s="1">
        <v>3</v>
      </c>
      <c r="W20" s="1">
        <v>6</v>
      </c>
      <c r="X20" s="1">
        <v>6</v>
      </c>
      <c r="Y20" s="1">
        <v>6</v>
      </c>
      <c r="Z20" s="1" t="s">
        <v>42</v>
      </c>
    </row>
    <row r="21" spans="1:26" x14ac:dyDescent="0.25">
      <c r="A21" s="1">
        <v>20</v>
      </c>
      <c r="B21" s="1" t="s">
        <v>13</v>
      </c>
      <c r="C21" s="1" t="s">
        <v>12</v>
      </c>
      <c r="D21" s="1">
        <v>81000</v>
      </c>
      <c r="E21" s="1">
        <v>56000</v>
      </c>
      <c r="F21" s="1">
        <f t="shared" si="0"/>
        <v>25000</v>
      </c>
      <c r="G21" s="1">
        <f t="shared" si="1"/>
        <v>0.30864197530864196</v>
      </c>
      <c r="H21" s="1">
        <v>7</v>
      </c>
      <c r="I21" s="1">
        <v>5</v>
      </c>
      <c r="J21" s="1" t="s">
        <v>40</v>
      </c>
      <c r="K21" s="1" t="s">
        <v>41</v>
      </c>
      <c r="L21" s="1">
        <v>86</v>
      </c>
      <c r="M21" s="1">
        <v>13</v>
      </c>
      <c r="N21" s="1">
        <v>2800</v>
      </c>
      <c r="O21" s="1">
        <v>69000</v>
      </c>
      <c r="P21" s="1">
        <v>62000</v>
      </c>
      <c r="Q21" s="1">
        <v>3000</v>
      </c>
      <c r="R21" s="1">
        <v>6</v>
      </c>
      <c r="S21" s="1" t="s">
        <v>56</v>
      </c>
      <c r="T21" s="1" t="s">
        <v>56</v>
      </c>
      <c r="U21" s="1" t="s">
        <v>57</v>
      </c>
      <c r="V21" s="1">
        <v>5</v>
      </c>
      <c r="W21" s="1">
        <v>1</v>
      </c>
      <c r="X21" s="1">
        <v>15</v>
      </c>
      <c r="Y21" s="1">
        <v>10</v>
      </c>
      <c r="Z21" s="1" t="s">
        <v>40</v>
      </c>
    </row>
    <row r="22" spans="1:26" x14ac:dyDescent="0.25">
      <c r="A22" s="1">
        <v>21</v>
      </c>
      <c r="B22" s="1" t="s">
        <v>6</v>
      </c>
      <c r="C22" s="1" t="s">
        <v>22</v>
      </c>
      <c r="D22" s="1">
        <v>80000</v>
      </c>
      <c r="E22" s="1">
        <v>55000</v>
      </c>
      <c r="F22" s="1">
        <f t="shared" si="0"/>
        <v>25000</v>
      </c>
      <c r="G22" s="1">
        <f t="shared" si="1"/>
        <v>0.3125</v>
      </c>
      <c r="H22" s="1">
        <v>8</v>
      </c>
      <c r="I22" s="1">
        <v>10</v>
      </c>
      <c r="J22" s="1" t="s">
        <v>42</v>
      </c>
      <c r="K22" s="1" t="s">
        <v>39</v>
      </c>
      <c r="L22" s="1">
        <v>88</v>
      </c>
      <c r="M22" s="4">
        <v>12</v>
      </c>
      <c r="N22" s="4">
        <v>800</v>
      </c>
      <c r="O22" s="4">
        <v>18000</v>
      </c>
      <c r="P22" s="4">
        <v>6500</v>
      </c>
      <c r="Q22" s="4">
        <v>1200</v>
      </c>
      <c r="R22" s="4">
        <v>4.8</v>
      </c>
      <c r="S22" s="4" t="s">
        <v>54</v>
      </c>
      <c r="T22" s="4" t="s">
        <v>54</v>
      </c>
      <c r="U22" s="4" t="s">
        <v>55</v>
      </c>
      <c r="V22" s="1">
        <v>4</v>
      </c>
      <c r="W22" s="1">
        <v>4</v>
      </c>
      <c r="X22" s="1">
        <v>8</v>
      </c>
      <c r="Y22" s="1">
        <v>8</v>
      </c>
      <c r="Z22" s="1" t="s">
        <v>38</v>
      </c>
    </row>
    <row r="23" spans="1:26" x14ac:dyDescent="0.25">
      <c r="A23" s="1">
        <v>22</v>
      </c>
      <c r="B23" s="1" t="s">
        <v>6</v>
      </c>
      <c r="C23" s="1" t="s">
        <v>22</v>
      </c>
      <c r="D23" s="1">
        <v>79000</v>
      </c>
      <c r="E23" s="1">
        <v>54000</v>
      </c>
      <c r="F23" s="1">
        <f t="shared" si="0"/>
        <v>25000</v>
      </c>
      <c r="G23" s="1">
        <f t="shared" si="1"/>
        <v>0.31645569620253167</v>
      </c>
      <c r="H23" s="1">
        <v>9</v>
      </c>
      <c r="I23" s="1">
        <v>10</v>
      </c>
      <c r="J23" s="1" t="s">
        <v>42</v>
      </c>
      <c r="K23" s="1" t="s">
        <v>39</v>
      </c>
      <c r="L23" s="1">
        <v>76</v>
      </c>
      <c r="M23" s="4">
        <v>8</v>
      </c>
      <c r="N23" s="4">
        <v>400</v>
      </c>
      <c r="O23" s="4">
        <v>9000</v>
      </c>
      <c r="P23" s="4">
        <v>4800</v>
      </c>
      <c r="Q23" s="4">
        <v>500</v>
      </c>
      <c r="R23" s="4">
        <v>3.5</v>
      </c>
      <c r="S23" s="4" t="s">
        <v>56</v>
      </c>
      <c r="T23" s="4" t="s">
        <v>56</v>
      </c>
      <c r="U23" s="4" t="s">
        <v>55</v>
      </c>
      <c r="V23" s="1">
        <v>2</v>
      </c>
      <c r="W23" s="1">
        <v>2</v>
      </c>
      <c r="X23" s="1">
        <v>10</v>
      </c>
      <c r="Y23" s="1">
        <v>9</v>
      </c>
      <c r="Z23" s="1" t="s">
        <v>40</v>
      </c>
    </row>
    <row r="24" spans="1:26" x14ac:dyDescent="0.25">
      <c r="A24" s="1">
        <v>23</v>
      </c>
      <c r="B24" s="1" t="s">
        <v>6</v>
      </c>
      <c r="C24" s="1" t="s">
        <v>22</v>
      </c>
      <c r="D24" s="1">
        <v>78000</v>
      </c>
      <c r="E24" s="1">
        <v>53000</v>
      </c>
      <c r="F24" s="1">
        <f t="shared" si="0"/>
        <v>25000</v>
      </c>
      <c r="G24" s="1">
        <f t="shared" si="1"/>
        <v>0.32051282051282054</v>
      </c>
      <c r="H24" s="1">
        <v>9</v>
      </c>
      <c r="I24" s="1">
        <v>10</v>
      </c>
      <c r="J24" s="1" t="s">
        <v>42</v>
      </c>
      <c r="K24" s="1" t="s">
        <v>39</v>
      </c>
      <c r="L24" s="1">
        <v>88</v>
      </c>
      <c r="M24" s="4">
        <v>15</v>
      </c>
      <c r="N24" s="4">
        <v>250</v>
      </c>
      <c r="O24" s="4">
        <v>7500</v>
      </c>
      <c r="P24" s="4">
        <v>4200</v>
      </c>
      <c r="Q24" s="4">
        <v>300</v>
      </c>
      <c r="R24" s="4">
        <v>3.9</v>
      </c>
      <c r="S24" s="4" t="s">
        <v>56</v>
      </c>
      <c r="T24" s="4" t="s">
        <v>56</v>
      </c>
      <c r="U24" s="4" t="s">
        <v>58</v>
      </c>
      <c r="V24" s="1">
        <v>3</v>
      </c>
      <c r="W24" s="1">
        <v>0</v>
      </c>
      <c r="X24" s="1">
        <v>5</v>
      </c>
      <c r="Y24" s="1">
        <v>7</v>
      </c>
      <c r="Z24" s="1" t="s">
        <v>42</v>
      </c>
    </row>
    <row r="25" spans="1:26" x14ac:dyDescent="0.25">
      <c r="A25" s="1">
        <v>24</v>
      </c>
      <c r="B25" s="1" t="s">
        <v>6</v>
      </c>
      <c r="C25" s="1" t="s">
        <v>22</v>
      </c>
      <c r="D25" s="1">
        <v>77000</v>
      </c>
      <c r="E25" s="1">
        <v>52000</v>
      </c>
      <c r="F25" s="1">
        <f t="shared" si="0"/>
        <v>25000</v>
      </c>
      <c r="G25" s="1">
        <f t="shared" si="1"/>
        <v>0.32467532467532467</v>
      </c>
      <c r="H25" s="1">
        <v>7</v>
      </c>
      <c r="I25" s="1">
        <v>7</v>
      </c>
      <c r="J25" s="1" t="s">
        <v>40</v>
      </c>
      <c r="K25" s="1" t="s">
        <v>41</v>
      </c>
      <c r="L25" s="1">
        <v>44</v>
      </c>
      <c r="M25" s="4">
        <v>10</v>
      </c>
      <c r="N25" s="4">
        <v>900</v>
      </c>
      <c r="O25" s="4">
        <v>20000</v>
      </c>
      <c r="P25" s="4">
        <v>7000</v>
      </c>
      <c r="Q25" s="4">
        <v>1000</v>
      </c>
      <c r="R25" s="4">
        <v>4.5999999999999996</v>
      </c>
      <c r="S25" s="4" t="s">
        <v>54</v>
      </c>
      <c r="T25" s="4" t="s">
        <v>54</v>
      </c>
      <c r="U25" s="4" t="s">
        <v>55</v>
      </c>
      <c r="V25" s="1">
        <v>4</v>
      </c>
      <c r="W25" s="1">
        <v>5</v>
      </c>
      <c r="X25" s="1">
        <v>13</v>
      </c>
      <c r="Y25" s="1">
        <v>10</v>
      </c>
      <c r="Z25" s="1" t="s">
        <v>38</v>
      </c>
    </row>
    <row r="26" spans="1:26" x14ac:dyDescent="0.25">
      <c r="A26" s="1">
        <v>25</v>
      </c>
      <c r="B26" s="1" t="s">
        <v>9</v>
      </c>
      <c r="C26" s="1" t="s">
        <v>23</v>
      </c>
      <c r="D26" s="1">
        <v>76000</v>
      </c>
      <c r="E26" s="1">
        <v>51000</v>
      </c>
      <c r="F26" s="1">
        <f t="shared" si="0"/>
        <v>25000</v>
      </c>
      <c r="G26" s="1">
        <f t="shared" si="1"/>
        <v>0.32894736842105265</v>
      </c>
      <c r="H26" s="1">
        <v>6</v>
      </c>
      <c r="I26" s="1">
        <v>3</v>
      </c>
      <c r="J26" s="1" t="s">
        <v>38</v>
      </c>
      <c r="K26" s="1" t="s">
        <v>41</v>
      </c>
      <c r="L26" s="1">
        <v>98</v>
      </c>
      <c r="M26" s="4">
        <v>5</v>
      </c>
      <c r="N26" s="4">
        <v>150</v>
      </c>
      <c r="O26" s="4">
        <v>4500</v>
      </c>
      <c r="P26" s="4">
        <v>2200</v>
      </c>
      <c r="Q26" s="4">
        <v>150</v>
      </c>
      <c r="R26" s="4">
        <v>3.2</v>
      </c>
      <c r="S26" s="4" t="s">
        <v>56</v>
      </c>
      <c r="T26" s="4" t="s">
        <v>56</v>
      </c>
      <c r="U26" s="4" t="s">
        <v>57</v>
      </c>
      <c r="V26" s="1">
        <v>5</v>
      </c>
      <c r="W26" s="1">
        <v>3</v>
      </c>
      <c r="X26" s="1">
        <v>9</v>
      </c>
      <c r="Y26" s="1">
        <v>6</v>
      </c>
      <c r="Z26" s="1" t="s">
        <v>40</v>
      </c>
    </row>
    <row r="27" spans="1:26" x14ac:dyDescent="0.25">
      <c r="A27" s="1">
        <v>26</v>
      </c>
      <c r="B27" s="1" t="s">
        <v>9</v>
      </c>
      <c r="C27" s="1" t="s">
        <v>23</v>
      </c>
      <c r="D27" s="1">
        <v>75000</v>
      </c>
      <c r="E27" s="1">
        <v>50000</v>
      </c>
      <c r="F27" s="1">
        <f t="shared" si="0"/>
        <v>25000</v>
      </c>
      <c r="G27" s="1">
        <f t="shared" si="1"/>
        <v>0.33333333333333331</v>
      </c>
      <c r="H27" s="1">
        <v>3</v>
      </c>
      <c r="I27" s="1">
        <v>3</v>
      </c>
      <c r="J27" s="1" t="s">
        <v>38</v>
      </c>
      <c r="K27" s="1" t="s">
        <v>43</v>
      </c>
      <c r="L27" s="1">
        <v>95</v>
      </c>
      <c r="M27" s="4">
        <v>18</v>
      </c>
      <c r="N27" s="4">
        <v>1000</v>
      </c>
      <c r="O27" s="4">
        <v>25000</v>
      </c>
      <c r="P27" s="4">
        <v>8500</v>
      </c>
      <c r="Q27" s="4">
        <v>1500</v>
      </c>
      <c r="R27" s="4">
        <v>4.9000000000000004</v>
      </c>
      <c r="S27" s="4" t="s">
        <v>54</v>
      </c>
      <c r="T27" s="4" t="s">
        <v>54</v>
      </c>
      <c r="U27" s="4" t="s">
        <v>55</v>
      </c>
      <c r="V27" s="1">
        <v>4</v>
      </c>
      <c r="W27" s="1">
        <v>1</v>
      </c>
      <c r="X27" s="1">
        <v>12</v>
      </c>
      <c r="Y27" s="1">
        <v>8</v>
      </c>
      <c r="Z27" s="1" t="s">
        <v>42</v>
      </c>
    </row>
    <row r="28" spans="1:26" x14ac:dyDescent="0.25">
      <c r="A28" s="1">
        <v>27</v>
      </c>
      <c r="B28" s="1" t="s">
        <v>9</v>
      </c>
      <c r="C28" s="1" t="s">
        <v>23</v>
      </c>
      <c r="D28" s="1">
        <v>74000</v>
      </c>
      <c r="E28" s="1">
        <v>49000</v>
      </c>
      <c r="F28" s="1">
        <f t="shared" si="0"/>
        <v>25000</v>
      </c>
      <c r="G28" s="1">
        <f t="shared" si="1"/>
        <v>0.33783783783783783</v>
      </c>
      <c r="H28" s="1">
        <v>4</v>
      </c>
      <c r="I28" s="1">
        <v>2</v>
      </c>
      <c r="J28" s="1" t="s">
        <v>38</v>
      </c>
      <c r="K28" s="1" t="s">
        <v>43</v>
      </c>
      <c r="L28" s="1">
        <v>92</v>
      </c>
      <c r="M28" s="4">
        <v>20</v>
      </c>
      <c r="N28" s="4">
        <v>300</v>
      </c>
      <c r="O28" s="4">
        <v>11000</v>
      </c>
      <c r="P28" s="4">
        <v>5000</v>
      </c>
      <c r="Q28" s="4">
        <v>400</v>
      </c>
      <c r="R28" s="4">
        <v>4.0999999999999996</v>
      </c>
      <c r="S28" s="4" t="s">
        <v>56</v>
      </c>
      <c r="T28" s="4" t="s">
        <v>56</v>
      </c>
      <c r="U28" s="4" t="s">
        <v>58</v>
      </c>
      <c r="V28" s="1">
        <v>3</v>
      </c>
      <c r="W28" s="1">
        <v>4</v>
      </c>
      <c r="X28" s="1">
        <v>7</v>
      </c>
      <c r="Y28" s="1">
        <v>9</v>
      </c>
      <c r="Z28" s="1" t="s">
        <v>40</v>
      </c>
    </row>
    <row r="29" spans="1:26" x14ac:dyDescent="0.25">
      <c r="A29" s="1">
        <v>28</v>
      </c>
      <c r="B29" s="1" t="s">
        <v>7</v>
      </c>
      <c r="C29" s="1" t="s">
        <v>24</v>
      </c>
      <c r="D29" s="1">
        <v>73000</v>
      </c>
      <c r="E29" s="1">
        <v>48000</v>
      </c>
      <c r="F29" s="1">
        <f t="shared" si="0"/>
        <v>25000</v>
      </c>
      <c r="G29" s="1">
        <f t="shared" si="1"/>
        <v>0.34246575342465752</v>
      </c>
      <c r="H29" s="1">
        <v>5</v>
      </c>
      <c r="I29" s="1">
        <v>2</v>
      </c>
      <c r="J29" s="1" t="s">
        <v>38</v>
      </c>
      <c r="K29" s="1" t="s">
        <v>41</v>
      </c>
      <c r="L29" s="1">
        <v>88</v>
      </c>
      <c r="M29" s="4">
        <v>9</v>
      </c>
      <c r="N29" s="4">
        <v>700</v>
      </c>
      <c r="O29" s="4">
        <v>17000</v>
      </c>
      <c r="P29" s="4">
        <v>6200</v>
      </c>
      <c r="Q29" s="4">
        <v>900</v>
      </c>
      <c r="R29" s="4">
        <v>4.4000000000000004</v>
      </c>
      <c r="S29" s="4" t="s">
        <v>54</v>
      </c>
      <c r="T29" s="4" t="s">
        <v>54</v>
      </c>
      <c r="U29" s="4" t="s">
        <v>55</v>
      </c>
      <c r="V29" s="1">
        <v>5</v>
      </c>
      <c r="W29" s="1">
        <v>2</v>
      </c>
      <c r="X29" s="1">
        <v>11</v>
      </c>
      <c r="Y29" s="1">
        <v>7</v>
      </c>
      <c r="Z29" s="1" t="s">
        <v>38</v>
      </c>
    </row>
    <row r="30" spans="1:26" x14ac:dyDescent="0.25">
      <c r="A30" s="1">
        <v>29</v>
      </c>
      <c r="B30" s="1" t="s">
        <v>7</v>
      </c>
      <c r="C30" s="1" t="s">
        <v>24</v>
      </c>
      <c r="D30" s="1">
        <v>72000</v>
      </c>
      <c r="E30" s="1">
        <v>47000</v>
      </c>
      <c r="F30" s="1">
        <f t="shared" si="0"/>
        <v>25000</v>
      </c>
      <c r="G30" s="1">
        <f t="shared" si="1"/>
        <v>0.34722222222222221</v>
      </c>
      <c r="H30" s="1">
        <v>6</v>
      </c>
      <c r="I30" s="1">
        <v>3</v>
      </c>
      <c r="J30" s="1" t="s">
        <v>38</v>
      </c>
      <c r="K30" s="1" t="s">
        <v>41</v>
      </c>
      <c r="L30" s="1">
        <v>97</v>
      </c>
      <c r="M30" s="4">
        <v>4</v>
      </c>
      <c r="N30" s="4">
        <v>100</v>
      </c>
      <c r="O30" s="4">
        <v>3500</v>
      </c>
      <c r="P30" s="4">
        <v>1800</v>
      </c>
      <c r="Q30" s="4">
        <v>100</v>
      </c>
      <c r="R30" s="4">
        <v>3</v>
      </c>
      <c r="S30" s="4" t="s">
        <v>56</v>
      </c>
      <c r="T30" s="4" t="s">
        <v>56</v>
      </c>
      <c r="U30" s="4" t="s">
        <v>57</v>
      </c>
      <c r="V30" s="1">
        <v>4</v>
      </c>
      <c r="W30" s="1">
        <v>6</v>
      </c>
      <c r="X30" s="1">
        <v>6</v>
      </c>
      <c r="Y30" s="1">
        <v>8</v>
      </c>
      <c r="Z30" s="1" t="s">
        <v>42</v>
      </c>
    </row>
    <row r="31" spans="1:26" x14ac:dyDescent="0.25">
      <c r="A31" s="1">
        <v>30</v>
      </c>
      <c r="B31" s="1" t="s">
        <v>7</v>
      </c>
      <c r="C31" s="1" t="s">
        <v>24</v>
      </c>
      <c r="D31" s="1">
        <v>71000</v>
      </c>
      <c r="E31" s="1">
        <v>46000</v>
      </c>
      <c r="F31" s="1">
        <f t="shared" si="0"/>
        <v>25000</v>
      </c>
      <c r="G31" s="1">
        <f t="shared" si="1"/>
        <v>0.352112676056338</v>
      </c>
      <c r="H31" s="1">
        <v>7</v>
      </c>
      <c r="I31" s="1">
        <v>6</v>
      </c>
      <c r="J31" s="1" t="s">
        <v>40</v>
      </c>
      <c r="K31" s="1" t="s">
        <v>41</v>
      </c>
      <c r="L31" s="1">
        <v>90</v>
      </c>
      <c r="M31" s="4">
        <v>14</v>
      </c>
      <c r="N31" s="4">
        <v>850</v>
      </c>
      <c r="O31" s="4">
        <v>22000</v>
      </c>
      <c r="P31" s="4">
        <v>7800</v>
      </c>
      <c r="Q31" s="4">
        <v>1300</v>
      </c>
      <c r="R31" s="4">
        <v>4.7</v>
      </c>
      <c r="S31" s="4" t="s">
        <v>54</v>
      </c>
      <c r="T31" s="4" t="s">
        <v>54</v>
      </c>
      <c r="U31" s="4" t="s">
        <v>55</v>
      </c>
      <c r="V31" s="1">
        <v>3</v>
      </c>
      <c r="W31" s="1">
        <v>0</v>
      </c>
      <c r="X31" s="1">
        <v>14</v>
      </c>
      <c r="Y31" s="1">
        <v>10</v>
      </c>
      <c r="Z31" s="1" t="s">
        <v>40</v>
      </c>
    </row>
    <row r="32" spans="1:26" x14ac:dyDescent="0.25">
      <c r="A32" s="1">
        <v>31</v>
      </c>
      <c r="B32" s="1" t="s">
        <v>11</v>
      </c>
      <c r="C32" s="1" t="s">
        <v>25</v>
      </c>
      <c r="D32" s="1">
        <v>70000</v>
      </c>
      <c r="E32" s="1">
        <v>45000</v>
      </c>
      <c r="F32" s="1">
        <f t="shared" si="0"/>
        <v>25000</v>
      </c>
      <c r="G32" s="1">
        <f t="shared" si="1"/>
        <v>0.35714285714285715</v>
      </c>
      <c r="H32" s="1">
        <v>9</v>
      </c>
      <c r="I32" s="1">
        <v>9</v>
      </c>
      <c r="J32" s="1" t="s">
        <v>42</v>
      </c>
      <c r="K32" s="1" t="s">
        <v>39</v>
      </c>
      <c r="L32" s="1">
        <v>85</v>
      </c>
      <c r="M32" s="4">
        <v>11</v>
      </c>
      <c r="N32" s="4">
        <v>650</v>
      </c>
      <c r="O32" s="4">
        <v>16000</v>
      </c>
      <c r="P32" s="4">
        <v>6000</v>
      </c>
      <c r="Q32" s="4">
        <v>850</v>
      </c>
      <c r="R32" s="4">
        <v>4.3</v>
      </c>
      <c r="S32" s="4" t="s">
        <v>54</v>
      </c>
      <c r="T32" s="4" t="s">
        <v>54</v>
      </c>
      <c r="U32" s="4" t="s">
        <v>55</v>
      </c>
      <c r="V32" s="1">
        <v>4</v>
      </c>
      <c r="W32" s="1">
        <v>3</v>
      </c>
      <c r="X32" s="1">
        <v>8</v>
      </c>
      <c r="Y32" s="1">
        <v>6</v>
      </c>
      <c r="Z32" s="1" t="s">
        <v>38</v>
      </c>
    </row>
    <row r="33" spans="1:26" x14ac:dyDescent="0.25">
      <c r="A33" s="1">
        <v>32</v>
      </c>
      <c r="B33" s="1" t="s">
        <v>11</v>
      </c>
      <c r="C33" s="1" t="s">
        <v>25</v>
      </c>
      <c r="D33" s="1">
        <v>69000</v>
      </c>
      <c r="E33" s="1">
        <v>44000</v>
      </c>
      <c r="F33" s="1">
        <f t="shared" si="0"/>
        <v>25000</v>
      </c>
      <c r="G33" s="1">
        <f t="shared" si="1"/>
        <v>0.36231884057971014</v>
      </c>
      <c r="H33" s="1">
        <v>9</v>
      </c>
      <c r="I33" s="1">
        <v>9</v>
      </c>
      <c r="J33" s="1" t="s">
        <v>42</v>
      </c>
      <c r="K33" s="1" t="s">
        <v>39</v>
      </c>
      <c r="L33" s="1">
        <v>94</v>
      </c>
      <c r="M33" s="4">
        <v>7</v>
      </c>
      <c r="N33" s="4">
        <v>300</v>
      </c>
      <c r="O33" s="4">
        <v>8200</v>
      </c>
      <c r="P33" s="4">
        <v>4300</v>
      </c>
      <c r="Q33" s="4">
        <v>250</v>
      </c>
      <c r="R33" s="4">
        <v>3.4</v>
      </c>
      <c r="S33" s="4" t="s">
        <v>56</v>
      </c>
      <c r="T33" s="4" t="s">
        <v>56</v>
      </c>
      <c r="U33" s="4" t="s">
        <v>58</v>
      </c>
      <c r="V33" s="1">
        <v>5</v>
      </c>
      <c r="W33" s="1">
        <v>1</v>
      </c>
      <c r="X33" s="1">
        <v>10</v>
      </c>
      <c r="Y33" s="1">
        <v>9</v>
      </c>
      <c r="Z33" s="1" t="s">
        <v>40</v>
      </c>
    </row>
    <row r="34" spans="1:26" x14ac:dyDescent="0.25">
      <c r="A34" s="1">
        <v>33</v>
      </c>
      <c r="B34" s="1" t="s">
        <v>11</v>
      </c>
      <c r="C34" s="1" t="s">
        <v>25</v>
      </c>
      <c r="D34" s="1">
        <v>68000</v>
      </c>
      <c r="E34" s="1">
        <v>43000</v>
      </c>
      <c r="F34" s="1">
        <f t="shared" si="0"/>
        <v>25000</v>
      </c>
      <c r="G34" s="1">
        <f t="shared" si="1"/>
        <v>0.36764705882352944</v>
      </c>
      <c r="H34" s="1">
        <v>9</v>
      </c>
      <c r="I34" s="1">
        <v>10</v>
      </c>
      <c r="J34" s="1" t="s">
        <v>42</v>
      </c>
      <c r="K34" s="1" t="s">
        <v>39</v>
      </c>
      <c r="L34" s="1">
        <v>99</v>
      </c>
      <c r="M34" s="4">
        <v>13</v>
      </c>
      <c r="N34" s="4">
        <v>750</v>
      </c>
      <c r="O34" s="4">
        <v>19500</v>
      </c>
      <c r="P34" s="4">
        <v>7100</v>
      </c>
      <c r="Q34" s="4">
        <v>1100</v>
      </c>
      <c r="R34" s="4">
        <v>4.7</v>
      </c>
      <c r="S34" s="4" t="s">
        <v>54</v>
      </c>
      <c r="T34" s="4" t="s">
        <v>54</v>
      </c>
      <c r="U34" s="4" t="s">
        <v>55</v>
      </c>
      <c r="V34" s="1">
        <v>2</v>
      </c>
      <c r="W34" s="1">
        <v>5</v>
      </c>
      <c r="X34" s="1">
        <v>13</v>
      </c>
      <c r="Y34" s="1">
        <v>8</v>
      </c>
      <c r="Z34" s="1" t="s">
        <v>42</v>
      </c>
    </row>
    <row r="35" spans="1:26" x14ac:dyDescent="0.25">
      <c r="A35" s="1">
        <v>34</v>
      </c>
      <c r="B35" s="1" t="s">
        <v>13</v>
      </c>
      <c r="C35" s="1" t="s">
        <v>26</v>
      </c>
      <c r="D35" s="1">
        <v>67000</v>
      </c>
      <c r="E35" s="1">
        <v>42000</v>
      </c>
      <c r="F35" s="1">
        <f t="shared" si="0"/>
        <v>25000</v>
      </c>
      <c r="G35" s="1">
        <f t="shared" si="1"/>
        <v>0.37313432835820898</v>
      </c>
      <c r="H35" s="1">
        <v>9</v>
      </c>
      <c r="I35" s="1">
        <v>10</v>
      </c>
      <c r="J35" s="1" t="s">
        <v>42</v>
      </c>
      <c r="K35" s="1" t="s">
        <v>39</v>
      </c>
      <c r="L35" s="1">
        <v>91</v>
      </c>
      <c r="M35" s="4">
        <v>6</v>
      </c>
      <c r="N35" s="4">
        <v>200</v>
      </c>
      <c r="O35" s="4">
        <v>5200</v>
      </c>
      <c r="P35" s="4">
        <v>2500</v>
      </c>
      <c r="Q35" s="4">
        <v>180</v>
      </c>
      <c r="R35" s="4">
        <v>3.1</v>
      </c>
      <c r="S35" s="4" t="s">
        <v>56</v>
      </c>
      <c r="T35" s="4" t="s">
        <v>56</v>
      </c>
      <c r="U35" s="4" t="s">
        <v>57</v>
      </c>
      <c r="V35" s="1">
        <v>4</v>
      </c>
      <c r="W35" s="1">
        <v>2</v>
      </c>
      <c r="X35" s="1">
        <v>5</v>
      </c>
      <c r="Y35" s="1">
        <v>7</v>
      </c>
      <c r="Z35" s="1" t="s">
        <v>38</v>
      </c>
    </row>
    <row r="36" spans="1:26" x14ac:dyDescent="0.25">
      <c r="A36" s="1">
        <v>35</v>
      </c>
      <c r="B36" s="1" t="s">
        <v>13</v>
      </c>
      <c r="C36" s="1" t="s">
        <v>26</v>
      </c>
      <c r="D36" s="1">
        <v>66000</v>
      </c>
      <c r="E36" s="1">
        <v>41000</v>
      </c>
      <c r="F36" s="1">
        <f t="shared" si="0"/>
        <v>25000</v>
      </c>
      <c r="G36" s="1">
        <f t="shared" si="1"/>
        <v>0.37878787878787878</v>
      </c>
      <c r="H36" s="1">
        <v>8</v>
      </c>
      <c r="I36" s="1">
        <v>10</v>
      </c>
      <c r="J36" s="1" t="s">
        <v>42</v>
      </c>
      <c r="K36" s="1" t="s">
        <v>39</v>
      </c>
      <c r="L36" s="1">
        <v>87</v>
      </c>
      <c r="M36" s="4">
        <v>17</v>
      </c>
      <c r="N36" s="4">
        <v>950</v>
      </c>
      <c r="O36" s="4">
        <v>24000</v>
      </c>
      <c r="P36" s="4">
        <v>8200</v>
      </c>
      <c r="Q36" s="4">
        <v>1400</v>
      </c>
      <c r="R36" s="4">
        <v>4.8</v>
      </c>
      <c r="S36" s="4" t="s">
        <v>54</v>
      </c>
      <c r="T36" s="4" t="s">
        <v>54</v>
      </c>
      <c r="U36" s="4" t="s">
        <v>55</v>
      </c>
      <c r="V36" s="1">
        <v>3</v>
      </c>
      <c r="W36" s="1">
        <v>4</v>
      </c>
      <c r="X36" s="1">
        <v>9</v>
      </c>
      <c r="Y36" s="1">
        <v>10</v>
      </c>
      <c r="Z36" s="1" t="s">
        <v>40</v>
      </c>
    </row>
    <row r="37" spans="1:26" x14ac:dyDescent="0.25">
      <c r="A37" s="1">
        <v>36</v>
      </c>
      <c r="B37" s="1" t="s">
        <v>13</v>
      </c>
      <c r="C37" s="1" t="s">
        <v>26</v>
      </c>
      <c r="D37" s="1">
        <v>65000</v>
      </c>
      <c r="E37" s="1">
        <v>40000</v>
      </c>
      <c r="F37" s="1">
        <f t="shared" si="0"/>
        <v>25000</v>
      </c>
      <c r="G37" s="1">
        <f t="shared" si="1"/>
        <v>0.38461538461538464</v>
      </c>
      <c r="H37" s="1">
        <v>8</v>
      </c>
      <c r="I37" s="1">
        <v>8</v>
      </c>
      <c r="J37" s="1" t="s">
        <v>42</v>
      </c>
      <c r="K37" s="1" t="s">
        <v>39</v>
      </c>
      <c r="L37" s="1">
        <v>96</v>
      </c>
      <c r="M37" s="4">
        <v>9</v>
      </c>
      <c r="N37" s="4">
        <v>500</v>
      </c>
      <c r="O37" s="4">
        <v>12500</v>
      </c>
      <c r="P37" s="4">
        <v>5400</v>
      </c>
      <c r="Q37" s="4">
        <v>600</v>
      </c>
      <c r="R37" s="4">
        <v>4</v>
      </c>
      <c r="S37" s="4" t="s">
        <v>54</v>
      </c>
      <c r="T37" s="4" t="s">
        <v>56</v>
      </c>
      <c r="U37" s="4" t="s">
        <v>55</v>
      </c>
      <c r="V37" s="1">
        <v>5</v>
      </c>
      <c r="W37" s="1">
        <v>1</v>
      </c>
      <c r="X37" s="1">
        <v>12</v>
      </c>
      <c r="Y37" s="1">
        <v>8</v>
      </c>
      <c r="Z37" s="1" t="s">
        <v>42</v>
      </c>
    </row>
    <row r="38" spans="1:26" x14ac:dyDescent="0.25">
      <c r="A38" s="1">
        <v>37</v>
      </c>
      <c r="B38" s="1" t="s">
        <v>10</v>
      </c>
      <c r="C38" s="1" t="s">
        <v>18</v>
      </c>
      <c r="D38" s="1">
        <v>64000</v>
      </c>
      <c r="E38" s="1">
        <v>39000</v>
      </c>
      <c r="F38" s="1">
        <f t="shared" si="0"/>
        <v>25000</v>
      </c>
      <c r="G38" s="1">
        <f t="shared" si="1"/>
        <v>0.390625</v>
      </c>
      <c r="H38" s="1">
        <v>7</v>
      </c>
      <c r="I38" s="1">
        <v>5</v>
      </c>
      <c r="J38" s="1" t="s">
        <v>40</v>
      </c>
      <c r="K38" s="1" t="s">
        <v>41</v>
      </c>
      <c r="L38" s="1">
        <v>89</v>
      </c>
      <c r="M38" s="4">
        <v>3</v>
      </c>
      <c r="N38" s="4">
        <v>120</v>
      </c>
      <c r="O38" s="4">
        <v>3800</v>
      </c>
      <c r="P38" s="4">
        <v>1900</v>
      </c>
      <c r="Q38" s="4">
        <v>100</v>
      </c>
      <c r="R38" s="4">
        <v>2.9</v>
      </c>
      <c r="S38" s="4" t="s">
        <v>56</v>
      </c>
      <c r="T38" s="4" t="s">
        <v>56</v>
      </c>
      <c r="U38" s="4" t="s">
        <v>57</v>
      </c>
      <c r="V38" s="1">
        <v>4</v>
      </c>
      <c r="W38" s="1">
        <v>0</v>
      </c>
      <c r="X38" s="1">
        <v>7</v>
      </c>
      <c r="Y38" s="1">
        <v>9</v>
      </c>
      <c r="Z38" s="1" t="s">
        <v>40</v>
      </c>
    </row>
    <row r="39" spans="1:26" x14ac:dyDescent="0.25">
      <c r="A39" s="1">
        <v>38</v>
      </c>
      <c r="B39" s="1" t="s">
        <v>10</v>
      </c>
      <c r="C39" s="1" t="s">
        <v>18</v>
      </c>
      <c r="D39" s="1">
        <v>63000</v>
      </c>
      <c r="E39" s="1">
        <v>38000</v>
      </c>
      <c r="F39" s="1">
        <f t="shared" si="0"/>
        <v>25000</v>
      </c>
      <c r="G39" s="1">
        <f t="shared" si="1"/>
        <v>0.3968253968253968</v>
      </c>
      <c r="H39" s="1">
        <v>8</v>
      </c>
      <c r="I39" s="1">
        <v>5</v>
      </c>
      <c r="J39" s="1" t="s">
        <v>40</v>
      </c>
      <c r="K39" s="1" t="s">
        <v>39</v>
      </c>
      <c r="L39" s="1">
        <v>93</v>
      </c>
      <c r="M39" s="4">
        <v>14</v>
      </c>
      <c r="N39" s="4">
        <v>850</v>
      </c>
      <c r="O39" s="4">
        <v>21000</v>
      </c>
      <c r="P39" s="4">
        <v>7600</v>
      </c>
      <c r="Q39" s="4">
        <v>1200</v>
      </c>
      <c r="R39" s="4">
        <v>4.5999999999999996</v>
      </c>
      <c r="S39" s="4" t="s">
        <v>54</v>
      </c>
      <c r="T39" s="4" t="s">
        <v>54</v>
      </c>
      <c r="U39" s="4" t="s">
        <v>55</v>
      </c>
      <c r="V39" s="1">
        <v>3</v>
      </c>
      <c r="W39" s="1">
        <v>6</v>
      </c>
      <c r="X39" s="1">
        <v>11</v>
      </c>
      <c r="Y39" s="1">
        <v>7</v>
      </c>
      <c r="Z39" s="1" t="s">
        <v>38</v>
      </c>
    </row>
    <row r="40" spans="1:26" x14ac:dyDescent="0.25">
      <c r="A40" s="1">
        <v>39</v>
      </c>
      <c r="B40" s="1" t="s">
        <v>10</v>
      </c>
      <c r="C40" s="1" t="s">
        <v>18</v>
      </c>
      <c r="D40" s="1">
        <v>62000</v>
      </c>
      <c r="E40" s="1">
        <v>37000</v>
      </c>
      <c r="F40" s="1">
        <f t="shared" si="0"/>
        <v>25000</v>
      </c>
      <c r="G40" s="1">
        <f t="shared" si="1"/>
        <v>0.40322580645161288</v>
      </c>
      <c r="H40" s="1">
        <v>7</v>
      </c>
      <c r="I40" s="1">
        <v>6</v>
      </c>
      <c r="J40" s="1" t="s">
        <v>40</v>
      </c>
      <c r="K40" s="1" t="s">
        <v>41</v>
      </c>
      <c r="L40" s="1">
        <v>84</v>
      </c>
      <c r="M40" s="4">
        <v>19</v>
      </c>
      <c r="N40" s="4">
        <v>1100</v>
      </c>
      <c r="O40" s="4">
        <v>27000</v>
      </c>
      <c r="P40" s="4">
        <v>9000</v>
      </c>
      <c r="Q40" s="4">
        <v>1800</v>
      </c>
      <c r="R40" s="4">
        <v>5</v>
      </c>
      <c r="S40" s="4" t="s">
        <v>54</v>
      </c>
      <c r="T40" s="4" t="s">
        <v>54</v>
      </c>
      <c r="U40" s="4" t="s">
        <v>55</v>
      </c>
      <c r="V40" s="1">
        <v>4</v>
      </c>
      <c r="W40" s="1">
        <v>3</v>
      </c>
      <c r="X40" s="1">
        <v>6</v>
      </c>
      <c r="Y40" s="1">
        <v>6</v>
      </c>
      <c r="Z40" s="1" t="s">
        <v>42</v>
      </c>
    </row>
    <row r="41" spans="1:26" x14ac:dyDescent="0.25">
      <c r="A41" s="1">
        <v>40</v>
      </c>
      <c r="B41" s="1" t="s">
        <v>10</v>
      </c>
      <c r="C41" s="1" t="s">
        <v>18</v>
      </c>
      <c r="D41" s="1">
        <v>61000</v>
      </c>
      <c r="E41" s="1">
        <v>36000</v>
      </c>
      <c r="F41" s="1">
        <f t="shared" si="0"/>
        <v>25000</v>
      </c>
      <c r="G41" s="1">
        <f t="shared" si="1"/>
        <v>0.4098360655737705</v>
      </c>
      <c r="H41" s="1">
        <v>7</v>
      </c>
      <c r="I41" s="1">
        <v>7</v>
      </c>
      <c r="J41" s="1" t="s">
        <v>40</v>
      </c>
      <c r="K41" s="1" t="s">
        <v>41</v>
      </c>
      <c r="L41" s="1">
        <v>100</v>
      </c>
      <c r="M41" s="4">
        <v>10</v>
      </c>
      <c r="N41" s="4">
        <v>600</v>
      </c>
      <c r="O41" s="4">
        <v>15000</v>
      </c>
      <c r="P41" s="4">
        <v>6100</v>
      </c>
      <c r="Q41" s="4">
        <v>750</v>
      </c>
      <c r="R41" s="4">
        <v>4.2</v>
      </c>
      <c r="S41" s="4" t="s">
        <v>54</v>
      </c>
      <c r="T41" s="4" t="s">
        <v>56</v>
      </c>
      <c r="U41" s="4" t="s">
        <v>55</v>
      </c>
      <c r="V41" s="1">
        <v>5</v>
      </c>
      <c r="W41" s="1">
        <v>2</v>
      </c>
      <c r="X41" s="1">
        <v>15</v>
      </c>
      <c r="Y41" s="1">
        <v>10</v>
      </c>
      <c r="Z41" s="1" t="s">
        <v>40</v>
      </c>
    </row>
    <row r="42" spans="1:26" x14ac:dyDescent="0.25">
      <c r="A42" s="1">
        <v>41</v>
      </c>
      <c r="B42" s="1" t="s">
        <v>6</v>
      </c>
      <c r="C42" s="1" t="s">
        <v>14</v>
      </c>
      <c r="D42" s="1">
        <v>60000</v>
      </c>
      <c r="E42" s="1">
        <v>35000</v>
      </c>
      <c r="F42" s="1">
        <f t="shared" si="0"/>
        <v>25000</v>
      </c>
      <c r="G42" s="1">
        <f t="shared" si="1"/>
        <v>0.41666666666666669</v>
      </c>
      <c r="H42" s="1">
        <v>6</v>
      </c>
      <c r="I42" s="1">
        <v>3</v>
      </c>
      <c r="J42" s="1" t="s">
        <v>38</v>
      </c>
      <c r="K42" s="1" t="s">
        <v>41</v>
      </c>
      <c r="L42" s="1">
        <v>95</v>
      </c>
      <c r="M42" s="4">
        <v>5</v>
      </c>
      <c r="N42" s="4">
        <v>180</v>
      </c>
      <c r="O42" s="4">
        <v>4800</v>
      </c>
      <c r="P42" s="4">
        <v>2300</v>
      </c>
      <c r="Q42" s="4">
        <v>150</v>
      </c>
      <c r="R42" s="4">
        <v>3</v>
      </c>
      <c r="S42" s="4" t="s">
        <v>56</v>
      </c>
      <c r="T42" s="4" t="s">
        <v>56</v>
      </c>
      <c r="U42" s="4" t="s">
        <v>57</v>
      </c>
      <c r="V42" s="1">
        <v>2</v>
      </c>
      <c r="W42" s="1">
        <v>5</v>
      </c>
      <c r="X42" s="1">
        <v>8</v>
      </c>
      <c r="Y42" s="1">
        <v>8</v>
      </c>
      <c r="Z42" s="1" t="s">
        <v>38</v>
      </c>
    </row>
    <row r="43" spans="1:26" x14ac:dyDescent="0.25">
      <c r="A43" s="1">
        <v>42</v>
      </c>
      <c r="B43" s="1" t="s">
        <v>6</v>
      </c>
      <c r="C43" s="1" t="s">
        <v>14</v>
      </c>
      <c r="D43" s="1">
        <v>59500</v>
      </c>
      <c r="E43" s="1">
        <v>34500</v>
      </c>
      <c r="F43" s="1">
        <f t="shared" si="0"/>
        <v>25000</v>
      </c>
      <c r="G43" s="1">
        <f t="shared" si="1"/>
        <v>0.42016806722689076</v>
      </c>
      <c r="H43" s="1">
        <v>6</v>
      </c>
      <c r="I43" s="1">
        <v>3</v>
      </c>
      <c r="J43" s="1" t="s">
        <v>38</v>
      </c>
      <c r="K43" s="1" t="s">
        <v>41</v>
      </c>
      <c r="L43" s="1">
        <v>86</v>
      </c>
      <c r="M43" s="4">
        <v>16</v>
      </c>
      <c r="N43" s="4">
        <v>920</v>
      </c>
      <c r="O43" s="4">
        <v>22500</v>
      </c>
      <c r="P43" s="4">
        <v>7900</v>
      </c>
      <c r="Q43" s="4">
        <v>1300</v>
      </c>
      <c r="R43" s="4">
        <v>4.7</v>
      </c>
      <c r="S43" s="4" t="s">
        <v>54</v>
      </c>
      <c r="T43" s="4" t="s">
        <v>54</v>
      </c>
      <c r="U43" s="4" t="s">
        <v>55</v>
      </c>
      <c r="V43" s="1">
        <v>3</v>
      </c>
      <c r="W43" s="1">
        <v>1</v>
      </c>
      <c r="X43" s="1">
        <v>10</v>
      </c>
      <c r="Y43" s="1">
        <v>9</v>
      </c>
      <c r="Z43" s="1" t="s">
        <v>40</v>
      </c>
    </row>
    <row r="44" spans="1:26" x14ac:dyDescent="0.25">
      <c r="A44" s="1">
        <v>43</v>
      </c>
      <c r="B44" s="1" t="s">
        <v>6</v>
      </c>
      <c r="C44" s="1" t="s">
        <v>14</v>
      </c>
      <c r="D44" s="1">
        <v>59000</v>
      </c>
      <c r="E44" s="1">
        <v>34000</v>
      </c>
      <c r="F44" s="1">
        <f t="shared" si="0"/>
        <v>25000</v>
      </c>
      <c r="G44" s="1">
        <f t="shared" si="1"/>
        <v>0.42372881355932202</v>
      </c>
      <c r="H44" s="1">
        <v>6</v>
      </c>
      <c r="I44" s="1">
        <v>4</v>
      </c>
      <c r="J44" s="1" t="s">
        <v>38</v>
      </c>
      <c r="K44" s="1" t="s">
        <v>41</v>
      </c>
      <c r="L44" s="1">
        <v>97</v>
      </c>
      <c r="M44" s="4">
        <v>8</v>
      </c>
      <c r="N44" s="4">
        <v>450</v>
      </c>
      <c r="O44" s="4">
        <v>9800</v>
      </c>
      <c r="P44" s="4">
        <v>4600</v>
      </c>
      <c r="Q44" s="4">
        <v>400</v>
      </c>
      <c r="R44" s="4">
        <v>3.8</v>
      </c>
      <c r="S44" s="4" t="s">
        <v>56</v>
      </c>
      <c r="T44" s="4" t="s">
        <v>54</v>
      </c>
      <c r="U44" s="4" t="s">
        <v>58</v>
      </c>
      <c r="V44" s="1">
        <v>4</v>
      </c>
      <c r="W44" s="1">
        <v>4</v>
      </c>
      <c r="X44" s="1">
        <v>5</v>
      </c>
      <c r="Y44" s="1">
        <v>7</v>
      </c>
      <c r="Z44" s="1" t="s">
        <v>42</v>
      </c>
    </row>
    <row r="45" spans="1:26" x14ac:dyDescent="0.25">
      <c r="A45" s="1">
        <v>44</v>
      </c>
      <c r="B45" s="1" t="s">
        <v>6</v>
      </c>
      <c r="C45" s="1" t="s">
        <v>14</v>
      </c>
      <c r="D45" s="1">
        <v>58500</v>
      </c>
      <c r="E45" s="1">
        <v>33500</v>
      </c>
      <c r="F45" s="1">
        <f t="shared" si="0"/>
        <v>25000</v>
      </c>
      <c r="G45" s="1">
        <f t="shared" si="1"/>
        <v>0.42735042735042733</v>
      </c>
      <c r="H45" s="1">
        <v>5</v>
      </c>
      <c r="I45" s="1">
        <v>4</v>
      </c>
      <c r="J45" s="1" t="s">
        <v>38</v>
      </c>
      <c r="K45" s="1" t="s">
        <v>41</v>
      </c>
      <c r="L45" s="1">
        <v>92</v>
      </c>
      <c r="M45" s="4">
        <v>12</v>
      </c>
      <c r="N45" s="4">
        <v>700</v>
      </c>
      <c r="O45" s="4">
        <v>17500</v>
      </c>
      <c r="P45" s="4">
        <v>6500</v>
      </c>
      <c r="Q45" s="4">
        <v>950</v>
      </c>
      <c r="R45" s="4">
        <v>4.4000000000000004</v>
      </c>
      <c r="S45" s="4" t="s">
        <v>54</v>
      </c>
      <c r="T45" s="4" t="s">
        <v>54</v>
      </c>
      <c r="U45" s="4" t="s">
        <v>55</v>
      </c>
      <c r="V45" s="1">
        <v>5</v>
      </c>
      <c r="W45" s="1">
        <v>0</v>
      </c>
      <c r="X45" s="1">
        <v>13</v>
      </c>
      <c r="Y45" s="1">
        <v>10</v>
      </c>
      <c r="Z45" s="1" t="s">
        <v>38</v>
      </c>
    </row>
    <row r="46" spans="1:26" x14ac:dyDescent="0.25">
      <c r="A46" s="1">
        <v>45</v>
      </c>
      <c r="B46" s="1" t="s">
        <v>6</v>
      </c>
      <c r="C46" s="1" t="s">
        <v>14</v>
      </c>
      <c r="D46" s="1">
        <v>58000</v>
      </c>
      <c r="E46" s="1">
        <v>33000</v>
      </c>
      <c r="F46" s="1">
        <f t="shared" si="0"/>
        <v>25000</v>
      </c>
      <c r="G46" s="1">
        <f t="shared" si="1"/>
        <v>0.43103448275862066</v>
      </c>
      <c r="H46" s="1">
        <v>6</v>
      </c>
      <c r="I46" s="1">
        <v>4</v>
      </c>
      <c r="J46" s="1" t="s">
        <v>38</v>
      </c>
      <c r="K46" s="1" t="s">
        <v>41</v>
      </c>
      <c r="L46" s="1">
        <v>88</v>
      </c>
      <c r="M46" s="4">
        <v>4</v>
      </c>
      <c r="N46" s="4">
        <v>150</v>
      </c>
      <c r="O46" s="4">
        <v>4100</v>
      </c>
      <c r="P46" s="4">
        <v>2000</v>
      </c>
      <c r="Q46" s="4">
        <v>120</v>
      </c>
      <c r="R46" s="4">
        <v>2.8</v>
      </c>
      <c r="S46" s="4" t="s">
        <v>56</v>
      </c>
      <c r="T46" s="4" t="s">
        <v>56</v>
      </c>
      <c r="U46" s="4" t="s">
        <v>57</v>
      </c>
      <c r="V46" s="1">
        <v>4</v>
      </c>
      <c r="W46" s="1">
        <v>3</v>
      </c>
      <c r="X46" s="1">
        <v>9</v>
      </c>
      <c r="Y46" s="1">
        <v>6</v>
      </c>
      <c r="Z46" s="1" t="s">
        <v>40</v>
      </c>
    </row>
    <row r="47" spans="1:26" x14ac:dyDescent="0.25">
      <c r="A47" s="1">
        <v>46</v>
      </c>
      <c r="B47" s="1" t="s">
        <v>6</v>
      </c>
      <c r="C47" s="1" t="s">
        <v>14</v>
      </c>
      <c r="D47" s="1">
        <v>57500</v>
      </c>
      <c r="E47" s="1">
        <v>32500</v>
      </c>
      <c r="F47" s="1">
        <f t="shared" si="0"/>
        <v>25000</v>
      </c>
      <c r="G47" s="1">
        <f t="shared" si="1"/>
        <v>0.43478260869565216</v>
      </c>
      <c r="H47" s="1">
        <v>6</v>
      </c>
      <c r="I47" s="1">
        <v>3</v>
      </c>
      <c r="J47" s="1" t="s">
        <v>38</v>
      </c>
      <c r="K47" s="1" t="s">
        <v>41</v>
      </c>
      <c r="L47" s="1">
        <v>94</v>
      </c>
      <c r="M47" s="4">
        <v>21</v>
      </c>
      <c r="N47" s="4">
        <v>1200</v>
      </c>
      <c r="O47" s="4">
        <v>30000</v>
      </c>
      <c r="P47" s="4">
        <v>9800</v>
      </c>
      <c r="Q47" s="4">
        <v>2000</v>
      </c>
      <c r="R47" s="4">
        <v>5</v>
      </c>
      <c r="S47" s="4" t="s">
        <v>54</v>
      </c>
      <c r="T47" s="4" t="s">
        <v>54</v>
      </c>
      <c r="U47" s="4" t="s">
        <v>55</v>
      </c>
      <c r="V47" s="1">
        <v>3</v>
      </c>
      <c r="W47" s="1">
        <v>2</v>
      </c>
      <c r="X47" s="1">
        <v>12</v>
      </c>
      <c r="Y47" s="1">
        <v>8</v>
      </c>
      <c r="Z47" s="1" t="s">
        <v>42</v>
      </c>
    </row>
    <row r="48" spans="1:26" x14ac:dyDescent="0.25">
      <c r="A48" s="1">
        <v>47</v>
      </c>
      <c r="B48" s="1" t="s">
        <v>6</v>
      </c>
      <c r="C48" s="1" t="s">
        <v>14</v>
      </c>
      <c r="D48" s="1">
        <v>57000</v>
      </c>
      <c r="E48" s="1">
        <v>32000</v>
      </c>
      <c r="F48" s="1">
        <f t="shared" si="0"/>
        <v>25000</v>
      </c>
      <c r="G48" s="1">
        <f t="shared" si="1"/>
        <v>0.43859649122807015</v>
      </c>
      <c r="H48" s="1">
        <v>4</v>
      </c>
      <c r="I48" s="1">
        <v>1</v>
      </c>
      <c r="J48" s="1" t="s">
        <v>38</v>
      </c>
      <c r="K48" s="1" t="s">
        <v>43</v>
      </c>
      <c r="L48" s="1">
        <v>81</v>
      </c>
      <c r="M48" s="4">
        <v>15</v>
      </c>
      <c r="N48" s="4">
        <v>800</v>
      </c>
      <c r="O48" s="4">
        <v>20500</v>
      </c>
      <c r="P48" s="4">
        <v>7300</v>
      </c>
      <c r="Q48" s="4">
        <v>1150</v>
      </c>
      <c r="R48" s="4">
        <v>4.5</v>
      </c>
      <c r="S48" s="4" t="s">
        <v>54</v>
      </c>
      <c r="T48" s="4" t="s">
        <v>54</v>
      </c>
      <c r="U48" s="4" t="s">
        <v>55</v>
      </c>
      <c r="V48" s="1">
        <v>5</v>
      </c>
      <c r="W48" s="1">
        <v>6</v>
      </c>
      <c r="X48" s="1">
        <v>7</v>
      </c>
      <c r="Y48" s="1">
        <v>9</v>
      </c>
      <c r="Z48" s="1" t="s">
        <v>40</v>
      </c>
    </row>
    <row r="49" spans="1:26" x14ac:dyDescent="0.25">
      <c r="A49" s="1">
        <v>48</v>
      </c>
      <c r="B49" s="1" t="s">
        <v>9</v>
      </c>
      <c r="C49" s="1" t="s">
        <v>15</v>
      </c>
      <c r="D49" s="1">
        <v>56500</v>
      </c>
      <c r="E49" s="1">
        <v>31500</v>
      </c>
      <c r="F49" s="1">
        <f t="shared" si="0"/>
        <v>25000</v>
      </c>
      <c r="G49" s="1">
        <f t="shared" si="1"/>
        <v>0.44247787610619471</v>
      </c>
      <c r="H49" s="1">
        <v>5</v>
      </c>
      <c r="I49" s="1">
        <v>1</v>
      </c>
      <c r="J49" s="1" t="s">
        <v>38</v>
      </c>
      <c r="K49" s="1" t="s">
        <v>41</v>
      </c>
      <c r="L49" s="1">
        <v>99</v>
      </c>
      <c r="M49" s="4">
        <v>6</v>
      </c>
      <c r="N49" s="4">
        <v>250</v>
      </c>
      <c r="O49" s="4">
        <v>6200</v>
      </c>
      <c r="P49" s="4">
        <v>3100</v>
      </c>
      <c r="Q49" s="4">
        <v>220</v>
      </c>
      <c r="R49" s="4">
        <v>3.3</v>
      </c>
      <c r="S49" s="4" t="s">
        <v>56</v>
      </c>
      <c r="T49" s="4" t="s">
        <v>56</v>
      </c>
      <c r="U49" s="4" t="s">
        <v>58</v>
      </c>
      <c r="V49" s="1">
        <v>4</v>
      </c>
      <c r="W49" s="1">
        <v>1</v>
      </c>
      <c r="X49" s="1">
        <v>11</v>
      </c>
      <c r="Y49" s="1">
        <v>7</v>
      </c>
      <c r="Z49" s="1" t="s">
        <v>38</v>
      </c>
    </row>
    <row r="50" spans="1:26" x14ac:dyDescent="0.25">
      <c r="A50" s="1">
        <v>49</v>
      </c>
      <c r="B50" s="1" t="s">
        <v>9</v>
      </c>
      <c r="C50" s="1" t="s">
        <v>15</v>
      </c>
      <c r="D50" s="1">
        <v>56000</v>
      </c>
      <c r="E50" s="1">
        <v>31000</v>
      </c>
      <c r="F50" s="1">
        <f t="shared" si="0"/>
        <v>25000</v>
      </c>
      <c r="G50" s="1">
        <f t="shared" si="1"/>
        <v>0.44642857142857145</v>
      </c>
      <c r="H50" s="1">
        <v>4</v>
      </c>
      <c r="I50" s="1">
        <v>2</v>
      </c>
      <c r="J50" s="1" t="s">
        <v>38</v>
      </c>
      <c r="K50" s="1" t="s">
        <v>43</v>
      </c>
      <c r="L50" s="1">
        <v>90</v>
      </c>
      <c r="M50" s="4">
        <v>18</v>
      </c>
      <c r="N50" s="4">
        <v>1000</v>
      </c>
      <c r="O50" s="4">
        <v>25500</v>
      </c>
      <c r="P50" s="4">
        <v>8700</v>
      </c>
      <c r="Q50" s="4">
        <v>1650</v>
      </c>
      <c r="R50" s="4">
        <v>4.9000000000000004</v>
      </c>
      <c r="S50" s="4" t="s">
        <v>54</v>
      </c>
      <c r="T50" s="4" t="s">
        <v>54</v>
      </c>
      <c r="U50" s="4" t="s">
        <v>55</v>
      </c>
      <c r="V50" s="1">
        <v>2</v>
      </c>
      <c r="W50" s="1">
        <v>4</v>
      </c>
      <c r="X50" s="1">
        <v>6</v>
      </c>
      <c r="Y50" s="1">
        <v>8</v>
      </c>
      <c r="Z50" s="1" t="s">
        <v>42</v>
      </c>
    </row>
    <row r="51" spans="1:26" x14ac:dyDescent="0.25">
      <c r="A51" s="1">
        <v>50</v>
      </c>
      <c r="B51" s="1" t="s">
        <v>9</v>
      </c>
      <c r="C51" s="1" t="s">
        <v>15</v>
      </c>
      <c r="D51" s="1">
        <v>55500</v>
      </c>
      <c r="E51" s="1">
        <v>30500</v>
      </c>
      <c r="F51" s="1">
        <f t="shared" si="0"/>
        <v>25000</v>
      </c>
      <c r="G51" s="1">
        <f t="shared" si="1"/>
        <v>0.45045045045045046</v>
      </c>
      <c r="H51" s="1">
        <v>3</v>
      </c>
      <c r="I51" s="1">
        <v>4</v>
      </c>
      <c r="J51" s="1" t="s">
        <v>38</v>
      </c>
      <c r="K51" s="1" t="s">
        <v>43</v>
      </c>
      <c r="L51" s="1">
        <v>85</v>
      </c>
      <c r="M51" s="4">
        <v>9</v>
      </c>
      <c r="N51" s="4">
        <v>520</v>
      </c>
      <c r="O51" s="4">
        <v>11800</v>
      </c>
      <c r="P51" s="4">
        <v>5000</v>
      </c>
      <c r="Q51" s="4">
        <v>550</v>
      </c>
      <c r="R51" s="4">
        <v>4</v>
      </c>
      <c r="S51" s="4" t="s">
        <v>54</v>
      </c>
      <c r="T51" s="4" t="s">
        <v>56</v>
      </c>
      <c r="U51" s="4" t="s">
        <v>55</v>
      </c>
      <c r="V51" s="1">
        <v>3</v>
      </c>
      <c r="W51" s="1">
        <v>2</v>
      </c>
      <c r="X51" s="1">
        <v>14</v>
      </c>
      <c r="Y51" s="1">
        <v>10</v>
      </c>
      <c r="Z51" s="1" t="s">
        <v>40</v>
      </c>
    </row>
    <row r="52" spans="1:26" x14ac:dyDescent="0.25">
      <c r="A52" s="1">
        <v>51</v>
      </c>
      <c r="B52" s="1" t="s">
        <v>9</v>
      </c>
      <c r="C52" s="1" t="s">
        <v>15</v>
      </c>
      <c r="D52" s="1">
        <v>55000</v>
      </c>
      <c r="E52" s="1">
        <v>30000</v>
      </c>
      <c r="F52" s="1">
        <f t="shared" si="0"/>
        <v>25000</v>
      </c>
      <c r="G52" s="1">
        <f t="shared" si="1"/>
        <v>0.45454545454545453</v>
      </c>
      <c r="H52" s="1">
        <v>6</v>
      </c>
      <c r="I52" s="1">
        <v>5</v>
      </c>
      <c r="J52" s="1" t="s">
        <v>38</v>
      </c>
      <c r="K52" s="1" t="s">
        <v>41</v>
      </c>
      <c r="L52" s="1">
        <v>96</v>
      </c>
      <c r="M52" s="4">
        <v>7</v>
      </c>
      <c r="N52" s="4">
        <v>350</v>
      </c>
      <c r="O52" s="4">
        <v>7600</v>
      </c>
      <c r="P52" s="4">
        <v>3900</v>
      </c>
      <c r="Q52" s="4">
        <v>280</v>
      </c>
      <c r="R52" s="4">
        <v>3.5</v>
      </c>
      <c r="S52" s="4" t="s">
        <v>56</v>
      </c>
      <c r="T52" s="4" t="s">
        <v>54</v>
      </c>
      <c r="U52" s="4" t="s">
        <v>58</v>
      </c>
      <c r="V52" s="1">
        <v>4</v>
      </c>
      <c r="W52" s="1">
        <v>0</v>
      </c>
      <c r="X52" s="1">
        <v>8</v>
      </c>
      <c r="Y52" s="1">
        <v>6</v>
      </c>
      <c r="Z52" s="1" t="s">
        <v>38</v>
      </c>
    </row>
    <row r="53" spans="1:26" x14ac:dyDescent="0.25">
      <c r="A53" s="1">
        <v>52</v>
      </c>
      <c r="B53" s="1" t="s">
        <v>9</v>
      </c>
      <c r="C53" s="1" t="s">
        <v>15</v>
      </c>
      <c r="D53" s="1">
        <v>54500</v>
      </c>
      <c r="E53" s="1">
        <v>29500</v>
      </c>
      <c r="F53" s="1">
        <f t="shared" si="0"/>
        <v>25000</v>
      </c>
      <c r="G53" s="1">
        <f t="shared" si="1"/>
        <v>0.45871559633027525</v>
      </c>
      <c r="H53" s="1">
        <v>6</v>
      </c>
      <c r="I53" s="1">
        <v>4</v>
      </c>
      <c r="J53" s="1" t="s">
        <v>38</v>
      </c>
      <c r="K53" s="1" t="s">
        <v>41</v>
      </c>
      <c r="L53" s="1">
        <v>87</v>
      </c>
      <c r="M53" s="4">
        <v>13</v>
      </c>
      <c r="N53" s="4">
        <v>780</v>
      </c>
      <c r="O53" s="4">
        <v>18200</v>
      </c>
      <c r="P53" s="4">
        <v>6700</v>
      </c>
      <c r="Q53" s="4">
        <v>980</v>
      </c>
      <c r="R53" s="4">
        <v>4.5</v>
      </c>
      <c r="S53" s="4" t="s">
        <v>54</v>
      </c>
      <c r="T53" s="4" t="s">
        <v>54</v>
      </c>
      <c r="U53" s="4" t="s">
        <v>55</v>
      </c>
      <c r="V53" s="1">
        <v>5</v>
      </c>
      <c r="W53" s="1">
        <v>5</v>
      </c>
      <c r="X53" s="1">
        <v>10</v>
      </c>
      <c r="Y53" s="1">
        <v>9</v>
      </c>
      <c r="Z53" s="1" t="s">
        <v>40</v>
      </c>
    </row>
    <row r="54" spans="1:26" x14ac:dyDescent="0.25">
      <c r="A54" s="1">
        <v>53</v>
      </c>
      <c r="B54" s="1" t="s">
        <v>7</v>
      </c>
      <c r="C54" s="1" t="s">
        <v>16</v>
      </c>
      <c r="D54" s="1">
        <v>54000</v>
      </c>
      <c r="E54" s="1">
        <v>29000</v>
      </c>
      <c r="F54" s="1">
        <f t="shared" si="0"/>
        <v>25000</v>
      </c>
      <c r="G54" s="1">
        <f t="shared" si="1"/>
        <v>0.46296296296296297</v>
      </c>
      <c r="H54" s="1">
        <v>7</v>
      </c>
      <c r="I54" s="1">
        <v>6</v>
      </c>
      <c r="J54" s="1" t="s">
        <v>40</v>
      </c>
      <c r="K54" s="1" t="s">
        <v>41</v>
      </c>
      <c r="L54" s="1">
        <v>98</v>
      </c>
      <c r="M54" s="4">
        <v>2</v>
      </c>
      <c r="N54" s="4">
        <v>100</v>
      </c>
      <c r="O54" s="4">
        <v>3200</v>
      </c>
      <c r="P54" s="4">
        <v>1700</v>
      </c>
      <c r="Q54" s="4">
        <v>80</v>
      </c>
      <c r="R54" s="4">
        <v>2.7</v>
      </c>
      <c r="S54" s="4" t="s">
        <v>56</v>
      </c>
      <c r="T54" s="4" t="s">
        <v>56</v>
      </c>
      <c r="U54" s="4" t="s">
        <v>57</v>
      </c>
      <c r="V54" s="1">
        <v>4</v>
      </c>
      <c r="W54" s="1">
        <v>3</v>
      </c>
      <c r="X54" s="1">
        <v>13</v>
      </c>
      <c r="Y54" s="1">
        <v>8</v>
      </c>
      <c r="Z54" s="1" t="s">
        <v>42</v>
      </c>
    </row>
    <row r="55" spans="1:26" x14ac:dyDescent="0.25">
      <c r="A55" s="1">
        <v>54</v>
      </c>
      <c r="B55" s="1" t="s">
        <v>7</v>
      </c>
      <c r="C55" s="1" t="s">
        <v>16</v>
      </c>
      <c r="D55" s="1">
        <v>53500</v>
      </c>
      <c r="E55" s="1">
        <v>28500</v>
      </c>
      <c r="F55" s="1">
        <f t="shared" si="0"/>
        <v>25000</v>
      </c>
      <c r="G55" s="1">
        <f t="shared" si="1"/>
        <v>0.46728971962616822</v>
      </c>
      <c r="H55" s="1">
        <v>7</v>
      </c>
      <c r="I55" s="1">
        <v>7</v>
      </c>
      <c r="J55" s="1" t="s">
        <v>40</v>
      </c>
      <c r="K55" s="1" t="s">
        <v>41</v>
      </c>
      <c r="L55" s="1">
        <v>91</v>
      </c>
      <c r="M55" s="4">
        <v>20</v>
      </c>
      <c r="N55" s="4">
        <v>1150</v>
      </c>
      <c r="O55" s="4">
        <v>28500</v>
      </c>
      <c r="P55" s="4">
        <v>9400</v>
      </c>
      <c r="Q55" s="4">
        <v>1900</v>
      </c>
      <c r="R55" s="4">
        <v>4.9000000000000004</v>
      </c>
      <c r="S55" s="4" t="s">
        <v>54</v>
      </c>
      <c r="T55" s="4" t="s">
        <v>54</v>
      </c>
      <c r="U55" s="4" t="s">
        <v>55</v>
      </c>
      <c r="V55" s="1">
        <v>3</v>
      </c>
      <c r="W55" s="1">
        <v>1</v>
      </c>
      <c r="X55" s="1">
        <v>5</v>
      </c>
      <c r="Y55" s="1">
        <v>7</v>
      </c>
      <c r="Z55" s="1" t="s">
        <v>38</v>
      </c>
    </row>
    <row r="56" spans="1:26" x14ac:dyDescent="0.25">
      <c r="A56" s="1">
        <v>55</v>
      </c>
      <c r="B56" s="1" t="s">
        <v>7</v>
      </c>
      <c r="C56" s="1" t="s">
        <v>16</v>
      </c>
      <c r="D56" s="1">
        <v>53000</v>
      </c>
      <c r="E56" s="1">
        <v>28000</v>
      </c>
      <c r="F56" s="1">
        <f t="shared" si="0"/>
        <v>25000</v>
      </c>
      <c r="G56" s="1">
        <f t="shared" si="1"/>
        <v>0.47169811320754718</v>
      </c>
      <c r="H56" s="1">
        <v>7</v>
      </c>
      <c r="I56" s="1">
        <v>7</v>
      </c>
      <c r="J56" s="1" t="s">
        <v>40</v>
      </c>
      <c r="K56" s="1" t="s">
        <v>41</v>
      </c>
      <c r="L56" s="1">
        <v>84</v>
      </c>
      <c r="M56" s="4">
        <v>11</v>
      </c>
      <c r="N56" s="4">
        <v>640</v>
      </c>
      <c r="O56" s="4">
        <v>15800</v>
      </c>
      <c r="P56" s="4">
        <v>5900</v>
      </c>
      <c r="Q56" s="4">
        <v>820</v>
      </c>
      <c r="R56" s="4">
        <v>4.2</v>
      </c>
      <c r="S56" s="4" t="s">
        <v>54</v>
      </c>
      <c r="T56" s="4" t="s">
        <v>56</v>
      </c>
      <c r="U56" s="4" t="s">
        <v>55</v>
      </c>
      <c r="V56" s="1">
        <v>5</v>
      </c>
      <c r="W56" s="1">
        <v>4</v>
      </c>
      <c r="X56" s="1">
        <v>9</v>
      </c>
      <c r="Y56" s="1">
        <v>10</v>
      </c>
      <c r="Z56" s="1" t="s">
        <v>40</v>
      </c>
    </row>
    <row r="57" spans="1:26" x14ac:dyDescent="0.25">
      <c r="A57" s="1">
        <v>56</v>
      </c>
      <c r="B57" s="1" t="s">
        <v>7</v>
      </c>
      <c r="C57" s="1" t="s">
        <v>16</v>
      </c>
      <c r="D57" s="1">
        <v>52500</v>
      </c>
      <c r="E57" s="1">
        <v>27500</v>
      </c>
      <c r="F57" s="1">
        <f t="shared" si="0"/>
        <v>25000</v>
      </c>
      <c r="G57" s="1">
        <f t="shared" si="1"/>
        <v>0.47619047619047616</v>
      </c>
      <c r="H57" s="1">
        <v>8</v>
      </c>
      <c r="I57" s="1">
        <v>8</v>
      </c>
      <c r="J57" s="1" t="s">
        <v>42</v>
      </c>
      <c r="K57" s="1" t="s">
        <v>39</v>
      </c>
      <c r="L57" s="1">
        <v>95</v>
      </c>
      <c r="M57" s="4">
        <v>8</v>
      </c>
      <c r="N57" s="4">
        <v>420</v>
      </c>
      <c r="O57" s="4">
        <v>9300</v>
      </c>
      <c r="P57" s="4">
        <v>4500</v>
      </c>
      <c r="Q57" s="4">
        <v>350</v>
      </c>
      <c r="R57" s="4">
        <v>3.7</v>
      </c>
      <c r="S57" s="4" t="s">
        <v>56</v>
      </c>
      <c r="T57" s="4" t="s">
        <v>54</v>
      </c>
      <c r="U57" s="4" t="s">
        <v>58</v>
      </c>
      <c r="V57" s="1">
        <v>4</v>
      </c>
      <c r="W57" s="1">
        <v>2</v>
      </c>
      <c r="X57" s="1">
        <v>12</v>
      </c>
      <c r="Y57" s="1">
        <v>8</v>
      </c>
      <c r="Z57" s="1" t="s">
        <v>42</v>
      </c>
    </row>
    <row r="58" spans="1:26" x14ac:dyDescent="0.25">
      <c r="A58" s="1">
        <v>57</v>
      </c>
      <c r="B58" s="1" t="s">
        <v>7</v>
      </c>
      <c r="C58" s="1" t="s">
        <v>16</v>
      </c>
      <c r="D58" s="1">
        <v>52000</v>
      </c>
      <c r="E58" s="1">
        <v>27000</v>
      </c>
      <c r="F58" s="1">
        <f t="shared" si="0"/>
        <v>25000</v>
      </c>
      <c r="G58" s="1">
        <f t="shared" si="1"/>
        <v>0.48076923076923078</v>
      </c>
      <c r="H58" s="1">
        <v>9</v>
      </c>
      <c r="I58" s="1">
        <v>8</v>
      </c>
      <c r="J58" s="1" t="s">
        <v>42</v>
      </c>
      <c r="K58" s="1" t="s">
        <v>39</v>
      </c>
      <c r="L58" s="1">
        <v>82</v>
      </c>
      <c r="M58" s="4">
        <v>14</v>
      </c>
      <c r="N58" s="4">
        <v>830</v>
      </c>
      <c r="O58" s="4">
        <v>19800</v>
      </c>
      <c r="P58" s="4">
        <v>7200</v>
      </c>
      <c r="Q58" s="4">
        <v>1080</v>
      </c>
      <c r="R58" s="4">
        <v>4.5999999999999996</v>
      </c>
      <c r="S58" s="4" t="s">
        <v>54</v>
      </c>
      <c r="T58" s="4" t="s">
        <v>54</v>
      </c>
      <c r="U58" s="4" t="s">
        <v>55</v>
      </c>
      <c r="V58" s="1">
        <v>2</v>
      </c>
      <c r="W58" s="1">
        <v>6</v>
      </c>
      <c r="X58" s="1">
        <v>7</v>
      </c>
      <c r="Y58" s="1">
        <v>9</v>
      </c>
      <c r="Z58" s="1" t="s">
        <v>40</v>
      </c>
    </row>
    <row r="59" spans="1:26" x14ac:dyDescent="0.25">
      <c r="A59" s="1">
        <v>58</v>
      </c>
      <c r="B59" s="1" t="s">
        <v>11</v>
      </c>
      <c r="C59" s="1" t="s">
        <v>17</v>
      </c>
      <c r="D59" s="1">
        <v>51500</v>
      </c>
      <c r="E59" s="1">
        <v>26500</v>
      </c>
      <c r="F59" s="1">
        <f t="shared" si="0"/>
        <v>25000</v>
      </c>
      <c r="G59" s="1">
        <f t="shared" si="1"/>
        <v>0.4854368932038835</v>
      </c>
      <c r="H59" s="1">
        <v>8</v>
      </c>
      <c r="I59" s="1">
        <v>8</v>
      </c>
      <c r="J59" s="1" t="s">
        <v>42</v>
      </c>
      <c r="K59" s="1" t="s">
        <v>39</v>
      </c>
      <c r="L59" s="1">
        <v>97</v>
      </c>
      <c r="M59" s="4">
        <v>5</v>
      </c>
      <c r="N59" s="4">
        <v>170</v>
      </c>
      <c r="O59" s="4">
        <v>4600</v>
      </c>
      <c r="P59" s="4">
        <v>2250</v>
      </c>
      <c r="Q59" s="4">
        <v>140</v>
      </c>
      <c r="R59" s="4">
        <v>3.1</v>
      </c>
      <c r="S59" s="4" t="s">
        <v>56</v>
      </c>
      <c r="T59" s="4" t="s">
        <v>56</v>
      </c>
      <c r="U59" s="4" t="s">
        <v>57</v>
      </c>
      <c r="V59" s="1">
        <v>4</v>
      </c>
      <c r="W59" s="1">
        <v>0</v>
      </c>
      <c r="X59" s="1">
        <v>11</v>
      </c>
      <c r="Y59" s="1">
        <v>7</v>
      </c>
      <c r="Z59" s="1" t="s">
        <v>38</v>
      </c>
    </row>
    <row r="60" spans="1:26" x14ac:dyDescent="0.25">
      <c r="A60" s="1">
        <v>59</v>
      </c>
      <c r="B60" s="1" t="s">
        <v>11</v>
      </c>
      <c r="C60" s="1" t="s">
        <v>17</v>
      </c>
      <c r="D60" s="1">
        <v>51000</v>
      </c>
      <c r="E60" s="1">
        <v>26000</v>
      </c>
      <c r="F60" s="1">
        <f t="shared" si="0"/>
        <v>25000</v>
      </c>
      <c r="G60" s="1">
        <f t="shared" si="1"/>
        <v>0.49019607843137253</v>
      </c>
      <c r="H60" s="1">
        <v>9</v>
      </c>
      <c r="I60" s="1">
        <v>9</v>
      </c>
      <c r="J60" s="1" t="s">
        <v>42</v>
      </c>
      <c r="K60" s="1" t="s">
        <v>39</v>
      </c>
      <c r="L60" s="1">
        <v>93</v>
      </c>
      <c r="M60" s="4">
        <v>17</v>
      </c>
      <c r="N60" s="4">
        <v>980</v>
      </c>
      <c r="O60" s="4">
        <v>24500</v>
      </c>
      <c r="P60" s="4">
        <v>8400</v>
      </c>
      <c r="Q60" s="4">
        <v>1450</v>
      </c>
      <c r="R60" s="4">
        <v>4.8</v>
      </c>
      <c r="S60" s="4" t="s">
        <v>54</v>
      </c>
      <c r="T60" s="4" t="s">
        <v>54</v>
      </c>
      <c r="U60" s="4" t="s">
        <v>55</v>
      </c>
      <c r="V60" s="1">
        <v>3</v>
      </c>
      <c r="W60" s="1">
        <v>3</v>
      </c>
      <c r="X60" s="1">
        <v>6</v>
      </c>
      <c r="Y60" s="1">
        <v>6</v>
      </c>
      <c r="Z60" s="1" t="s">
        <v>42</v>
      </c>
    </row>
    <row r="61" spans="1:26" x14ac:dyDescent="0.25">
      <c r="A61" s="1">
        <v>60</v>
      </c>
      <c r="B61" s="1" t="s">
        <v>11</v>
      </c>
      <c r="C61" s="1" t="s">
        <v>17</v>
      </c>
      <c r="D61" s="1">
        <v>50500</v>
      </c>
      <c r="E61" s="1">
        <v>25500</v>
      </c>
      <c r="F61" s="1">
        <f t="shared" si="0"/>
        <v>25000</v>
      </c>
      <c r="G61" s="1">
        <f t="shared" si="1"/>
        <v>0.49504950495049505</v>
      </c>
      <c r="H61" s="1">
        <v>10</v>
      </c>
      <c r="I61" s="1">
        <v>9</v>
      </c>
      <c r="J61" s="1" t="s">
        <v>42</v>
      </c>
      <c r="K61" s="1" t="s">
        <v>39</v>
      </c>
      <c r="L61" s="1">
        <v>86</v>
      </c>
      <c r="M61" s="4">
        <v>10</v>
      </c>
      <c r="N61" s="4">
        <v>570</v>
      </c>
      <c r="O61" s="4">
        <v>13500</v>
      </c>
      <c r="P61" s="4">
        <v>5600</v>
      </c>
      <c r="Q61" s="4">
        <v>680</v>
      </c>
      <c r="R61" s="4">
        <v>4.0999999999999996</v>
      </c>
      <c r="S61" s="4" t="s">
        <v>54</v>
      </c>
      <c r="T61" s="4" t="s">
        <v>56</v>
      </c>
      <c r="U61" s="4" t="s">
        <v>55</v>
      </c>
      <c r="V61" s="1">
        <v>5</v>
      </c>
      <c r="W61" s="1">
        <v>1</v>
      </c>
      <c r="X61" s="1">
        <v>15</v>
      </c>
      <c r="Y61" s="1">
        <v>10</v>
      </c>
      <c r="Z61" s="1" t="s">
        <v>40</v>
      </c>
    </row>
    <row r="62" spans="1:26" x14ac:dyDescent="0.25">
      <c r="A62" s="1">
        <v>61</v>
      </c>
      <c r="B62" s="1" t="s">
        <v>11</v>
      </c>
      <c r="C62" s="1" t="s">
        <v>17</v>
      </c>
      <c r="D62" s="1">
        <v>50000</v>
      </c>
      <c r="E62" s="1">
        <v>25000</v>
      </c>
      <c r="F62" s="1">
        <f t="shared" si="0"/>
        <v>25000</v>
      </c>
      <c r="G62" s="1">
        <f t="shared" si="1"/>
        <v>0.5</v>
      </c>
      <c r="H62" s="1">
        <v>11</v>
      </c>
      <c r="I62" s="1">
        <v>9</v>
      </c>
      <c r="J62" s="1" t="s">
        <v>42</v>
      </c>
      <c r="K62" s="1" t="s">
        <v>39</v>
      </c>
      <c r="L62" s="1">
        <v>98</v>
      </c>
      <c r="M62" s="4">
        <v>6</v>
      </c>
      <c r="N62" s="4">
        <v>230</v>
      </c>
      <c r="O62" s="4">
        <v>5900</v>
      </c>
      <c r="P62" s="4">
        <v>2900</v>
      </c>
      <c r="Q62" s="4">
        <v>210</v>
      </c>
      <c r="R62" s="4">
        <v>3.4</v>
      </c>
      <c r="S62" s="4" t="s">
        <v>56</v>
      </c>
      <c r="T62" s="4" t="s">
        <v>56</v>
      </c>
      <c r="U62" s="4" t="s">
        <v>58</v>
      </c>
      <c r="V62" s="1">
        <v>4</v>
      </c>
      <c r="W62" s="1">
        <v>5</v>
      </c>
      <c r="X62" s="1">
        <v>8</v>
      </c>
      <c r="Y62" s="1">
        <v>8</v>
      </c>
      <c r="Z62" s="1" t="s">
        <v>38</v>
      </c>
    </row>
    <row r="63" spans="1:26" x14ac:dyDescent="0.25">
      <c r="A63" s="1">
        <v>62</v>
      </c>
      <c r="B63" s="1" t="s">
        <v>11</v>
      </c>
      <c r="C63" s="1" t="s">
        <v>17</v>
      </c>
      <c r="D63" s="1">
        <v>49500</v>
      </c>
      <c r="E63" s="1">
        <v>24500</v>
      </c>
      <c r="F63" s="1">
        <f t="shared" si="0"/>
        <v>25000</v>
      </c>
      <c r="G63" s="1">
        <f t="shared" si="1"/>
        <v>0.50505050505050508</v>
      </c>
      <c r="H63" s="1">
        <v>11</v>
      </c>
      <c r="I63" s="1">
        <v>10</v>
      </c>
      <c r="J63" s="1" t="s">
        <v>42</v>
      </c>
      <c r="K63" s="1" t="s">
        <v>39</v>
      </c>
      <c r="L63" s="1">
        <v>89</v>
      </c>
      <c r="M63" s="4">
        <v>15</v>
      </c>
      <c r="N63" s="4">
        <v>890</v>
      </c>
      <c r="O63" s="4">
        <v>21800</v>
      </c>
      <c r="P63" s="4">
        <v>7700</v>
      </c>
      <c r="Q63" s="4">
        <v>1250</v>
      </c>
      <c r="R63" s="4">
        <v>4.7</v>
      </c>
      <c r="S63" s="4" t="s">
        <v>54</v>
      </c>
      <c r="T63" s="4" t="s">
        <v>54</v>
      </c>
      <c r="U63" s="4" t="s">
        <v>55</v>
      </c>
      <c r="V63" s="1">
        <v>3</v>
      </c>
      <c r="W63" s="1">
        <v>2</v>
      </c>
      <c r="X63" s="1">
        <v>10</v>
      </c>
      <c r="Y63" s="1">
        <v>9</v>
      </c>
      <c r="Z63" s="1" t="s">
        <v>40</v>
      </c>
    </row>
    <row r="64" spans="1:26" x14ac:dyDescent="0.25">
      <c r="A64" s="1">
        <v>63</v>
      </c>
      <c r="B64" s="1" t="s">
        <v>13</v>
      </c>
      <c r="C64" s="1" t="s">
        <v>27</v>
      </c>
      <c r="D64" s="1">
        <v>49000</v>
      </c>
      <c r="E64" s="1">
        <v>24000</v>
      </c>
      <c r="F64" s="1">
        <f t="shared" si="0"/>
        <v>25000</v>
      </c>
      <c r="G64" s="1">
        <f t="shared" si="1"/>
        <v>0.51020408163265307</v>
      </c>
      <c r="H64" s="1">
        <v>6</v>
      </c>
      <c r="I64" s="1">
        <v>3</v>
      </c>
      <c r="J64" s="1" t="s">
        <v>38</v>
      </c>
      <c r="K64" s="1" t="s">
        <v>41</v>
      </c>
      <c r="L64" s="1">
        <v>96</v>
      </c>
      <c r="M64" s="4">
        <v>3</v>
      </c>
      <c r="N64" s="4">
        <v>130</v>
      </c>
      <c r="O64" s="4">
        <v>3600</v>
      </c>
      <c r="P64" s="4">
        <v>1800</v>
      </c>
      <c r="Q64" s="4">
        <v>90</v>
      </c>
      <c r="R64" s="4">
        <v>2.9</v>
      </c>
      <c r="S64" s="4" t="s">
        <v>56</v>
      </c>
      <c r="T64" s="4" t="s">
        <v>56</v>
      </c>
      <c r="U64" s="4" t="s">
        <v>57</v>
      </c>
      <c r="V64" s="1">
        <v>4</v>
      </c>
      <c r="W64" s="1">
        <v>4</v>
      </c>
      <c r="X64" s="1">
        <v>5</v>
      </c>
      <c r="Y64" s="1">
        <v>7</v>
      </c>
      <c r="Z64" s="1" t="s">
        <v>42</v>
      </c>
    </row>
    <row r="65" spans="1:26" x14ac:dyDescent="0.25">
      <c r="A65" s="1">
        <v>64</v>
      </c>
      <c r="B65" s="1" t="s">
        <v>13</v>
      </c>
      <c r="C65" s="1" t="s">
        <v>27</v>
      </c>
      <c r="D65" s="1">
        <v>48500</v>
      </c>
      <c r="E65" s="1">
        <v>23500</v>
      </c>
      <c r="F65" s="1">
        <f t="shared" si="0"/>
        <v>25000</v>
      </c>
      <c r="G65" s="1">
        <f t="shared" si="1"/>
        <v>0.51546391752577314</v>
      </c>
      <c r="H65" s="1">
        <v>13</v>
      </c>
      <c r="I65" s="1">
        <v>8</v>
      </c>
      <c r="J65" s="1" t="s">
        <v>42</v>
      </c>
      <c r="K65" s="1" t="s">
        <v>39</v>
      </c>
      <c r="L65" s="1">
        <v>90</v>
      </c>
      <c r="M65" s="4">
        <v>19</v>
      </c>
      <c r="N65" s="4">
        <v>1080</v>
      </c>
      <c r="O65" s="4">
        <v>26800</v>
      </c>
      <c r="P65" s="4">
        <v>9100</v>
      </c>
      <c r="Q65" s="4">
        <v>1750</v>
      </c>
      <c r="R65" s="4">
        <v>4.9000000000000004</v>
      </c>
      <c r="S65" s="4" t="s">
        <v>54</v>
      </c>
      <c r="T65" s="4" t="s">
        <v>54</v>
      </c>
      <c r="U65" s="4" t="s">
        <v>55</v>
      </c>
      <c r="V65" s="1">
        <v>5</v>
      </c>
      <c r="W65" s="1">
        <v>1</v>
      </c>
      <c r="X65" s="1">
        <v>13</v>
      </c>
      <c r="Y65" s="1">
        <v>10</v>
      </c>
      <c r="Z65" s="1" t="s">
        <v>38</v>
      </c>
    </row>
    <row r="66" spans="1:26" x14ac:dyDescent="0.25">
      <c r="A66" s="1">
        <v>65</v>
      </c>
      <c r="B66" s="1" t="s">
        <v>13</v>
      </c>
      <c r="C66" s="1" t="s">
        <v>27</v>
      </c>
      <c r="D66" s="1">
        <v>48000</v>
      </c>
      <c r="E66" s="1">
        <v>23000</v>
      </c>
      <c r="F66" s="1">
        <f t="shared" si="0"/>
        <v>25000</v>
      </c>
      <c r="G66" s="1">
        <f t="shared" si="1"/>
        <v>0.52083333333333337</v>
      </c>
      <c r="H66" s="1">
        <v>12</v>
      </c>
      <c r="I66" s="1">
        <v>10</v>
      </c>
      <c r="J66" s="1" t="s">
        <v>42</v>
      </c>
      <c r="K66" s="1" t="s">
        <v>39</v>
      </c>
      <c r="L66" s="1">
        <v>85</v>
      </c>
      <c r="M66" s="4">
        <v>12</v>
      </c>
      <c r="N66" s="4">
        <v>710</v>
      </c>
      <c r="O66" s="4">
        <v>17200</v>
      </c>
      <c r="P66" s="4">
        <v>6400</v>
      </c>
      <c r="Q66" s="4">
        <v>920</v>
      </c>
      <c r="R66" s="4">
        <v>4.4000000000000004</v>
      </c>
      <c r="S66" s="4" t="s">
        <v>54</v>
      </c>
      <c r="T66" s="4" t="s">
        <v>54</v>
      </c>
      <c r="U66" s="4" t="s">
        <v>55</v>
      </c>
      <c r="V66" s="1">
        <v>2</v>
      </c>
      <c r="W66" s="1">
        <v>0</v>
      </c>
      <c r="X66" s="1">
        <v>9</v>
      </c>
      <c r="Y66" s="1">
        <v>6</v>
      </c>
      <c r="Z66" s="1" t="s">
        <v>40</v>
      </c>
    </row>
    <row r="67" spans="1:26" x14ac:dyDescent="0.25">
      <c r="A67" s="1">
        <v>66</v>
      </c>
      <c r="B67" s="1" t="s">
        <v>13</v>
      </c>
      <c r="C67" s="1" t="s">
        <v>27</v>
      </c>
      <c r="D67" s="1">
        <v>47500</v>
      </c>
      <c r="E67" s="1">
        <v>22500</v>
      </c>
      <c r="F67" s="1">
        <f t="shared" ref="F67:F101" si="2">D67-E67</f>
        <v>25000</v>
      </c>
      <c r="G67" s="1">
        <f t="shared" ref="G67:G101" si="3">(D67-E67)/D67</f>
        <v>0.52631578947368418</v>
      </c>
      <c r="H67" s="1">
        <v>4</v>
      </c>
      <c r="I67" s="1">
        <v>3</v>
      </c>
      <c r="J67" s="1" t="s">
        <v>38</v>
      </c>
      <c r="K67" s="1" t="s">
        <v>43</v>
      </c>
      <c r="L67" s="1">
        <v>94</v>
      </c>
      <c r="M67" s="4">
        <v>7</v>
      </c>
      <c r="N67" s="4">
        <v>340</v>
      </c>
      <c r="O67" s="4">
        <v>8100</v>
      </c>
      <c r="P67" s="4">
        <v>4100</v>
      </c>
      <c r="Q67" s="4">
        <v>300</v>
      </c>
      <c r="R67" s="4">
        <v>3.6</v>
      </c>
      <c r="S67" s="4" t="s">
        <v>56</v>
      </c>
      <c r="T67" s="4" t="s">
        <v>54</v>
      </c>
      <c r="U67" s="4" t="s">
        <v>58</v>
      </c>
      <c r="V67" s="1">
        <v>3</v>
      </c>
      <c r="W67" s="1">
        <v>6</v>
      </c>
      <c r="X67" s="1">
        <v>12</v>
      </c>
      <c r="Y67" s="1">
        <v>8</v>
      </c>
      <c r="Z67" s="1" t="s">
        <v>42</v>
      </c>
    </row>
    <row r="68" spans="1:26" x14ac:dyDescent="0.25">
      <c r="A68" s="1">
        <v>67</v>
      </c>
      <c r="B68" s="1" t="s">
        <v>10</v>
      </c>
      <c r="C68" s="1" t="s">
        <v>27</v>
      </c>
      <c r="D68" s="1">
        <v>47000</v>
      </c>
      <c r="E68" s="1">
        <v>22000</v>
      </c>
      <c r="F68" s="1">
        <f t="shared" si="2"/>
        <v>25000</v>
      </c>
      <c r="G68" s="1">
        <f t="shared" si="3"/>
        <v>0.53191489361702127</v>
      </c>
      <c r="H68" s="1">
        <v>3</v>
      </c>
      <c r="I68" s="1">
        <v>4</v>
      </c>
      <c r="J68" s="1" t="s">
        <v>38</v>
      </c>
      <c r="K68" s="1" t="s">
        <v>43</v>
      </c>
      <c r="L68" s="1">
        <v>88</v>
      </c>
      <c r="M68" s="4">
        <v>16</v>
      </c>
      <c r="N68" s="4">
        <v>940</v>
      </c>
      <c r="O68" s="4">
        <v>23200</v>
      </c>
      <c r="P68" s="4">
        <v>8000</v>
      </c>
      <c r="Q68" s="4">
        <v>1350</v>
      </c>
      <c r="R68" s="4">
        <v>4.8</v>
      </c>
      <c r="S68" s="4" t="s">
        <v>54</v>
      </c>
      <c r="T68" s="4" t="s">
        <v>54</v>
      </c>
      <c r="U68" s="4" t="s">
        <v>55</v>
      </c>
      <c r="V68" s="1">
        <v>4</v>
      </c>
      <c r="W68" s="1">
        <v>3</v>
      </c>
      <c r="X68" s="1">
        <v>7</v>
      </c>
      <c r="Y68" s="1">
        <v>9</v>
      </c>
      <c r="Z68" s="1" t="s">
        <v>40</v>
      </c>
    </row>
    <row r="69" spans="1:26" x14ac:dyDescent="0.25">
      <c r="A69" s="1">
        <v>68</v>
      </c>
      <c r="B69" s="1" t="s">
        <v>10</v>
      </c>
      <c r="C69" s="1" t="s">
        <v>27</v>
      </c>
      <c r="D69" s="1">
        <v>46500</v>
      </c>
      <c r="E69" s="1">
        <v>21500</v>
      </c>
      <c r="F69" s="1">
        <f t="shared" si="2"/>
        <v>25000</v>
      </c>
      <c r="G69" s="1">
        <f t="shared" si="3"/>
        <v>0.5376344086021505</v>
      </c>
      <c r="H69" s="1">
        <v>8</v>
      </c>
      <c r="I69" s="1">
        <v>4</v>
      </c>
      <c r="J69" s="1" t="s">
        <v>38</v>
      </c>
      <c r="K69" s="1" t="s">
        <v>39</v>
      </c>
      <c r="L69" s="1">
        <v>100</v>
      </c>
      <c r="M69" s="4">
        <v>4</v>
      </c>
      <c r="N69" s="4">
        <v>160</v>
      </c>
      <c r="O69" s="4">
        <v>4300</v>
      </c>
      <c r="P69" s="4">
        <v>2100</v>
      </c>
      <c r="Q69" s="4">
        <v>130</v>
      </c>
      <c r="R69" s="4">
        <v>3</v>
      </c>
      <c r="S69" s="4" t="s">
        <v>56</v>
      </c>
      <c r="T69" s="4" t="s">
        <v>56</v>
      </c>
      <c r="U69" s="4" t="s">
        <v>57</v>
      </c>
      <c r="V69" s="1">
        <v>5</v>
      </c>
      <c r="W69" s="1">
        <v>2</v>
      </c>
      <c r="X69" s="1">
        <v>11</v>
      </c>
      <c r="Y69" s="1">
        <v>7</v>
      </c>
      <c r="Z69" s="1" t="s">
        <v>38</v>
      </c>
    </row>
    <row r="70" spans="1:26" x14ac:dyDescent="0.25">
      <c r="A70" s="1">
        <v>69</v>
      </c>
      <c r="B70" s="1" t="s">
        <v>10</v>
      </c>
      <c r="C70" s="1" t="s">
        <v>27</v>
      </c>
      <c r="D70" s="1">
        <v>46000</v>
      </c>
      <c r="E70" s="1">
        <v>21000</v>
      </c>
      <c r="F70" s="1">
        <f t="shared" si="2"/>
        <v>25000</v>
      </c>
      <c r="G70" s="1">
        <f t="shared" si="3"/>
        <v>0.54347826086956519</v>
      </c>
      <c r="H70" s="1">
        <v>6</v>
      </c>
      <c r="I70" s="1">
        <v>4</v>
      </c>
      <c r="J70" s="1" t="s">
        <v>38</v>
      </c>
      <c r="K70" s="1" t="s">
        <v>41</v>
      </c>
      <c r="L70" s="1">
        <v>91</v>
      </c>
      <c r="M70" s="4">
        <v>18</v>
      </c>
      <c r="N70" s="4">
        <v>1030</v>
      </c>
      <c r="O70" s="4">
        <v>25800</v>
      </c>
      <c r="P70" s="4">
        <v>8800</v>
      </c>
      <c r="Q70" s="4">
        <v>1680</v>
      </c>
      <c r="R70" s="4">
        <v>4.9000000000000004</v>
      </c>
      <c r="S70" s="4" t="s">
        <v>54</v>
      </c>
      <c r="T70" s="4" t="s">
        <v>54</v>
      </c>
      <c r="U70" s="4" t="s">
        <v>55</v>
      </c>
      <c r="V70" s="1">
        <v>4</v>
      </c>
      <c r="W70" s="1">
        <v>5</v>
      </c>
      <c r="X70" s="1">
        <v>6</v>
      </c>
      <c r="Y70" s="1">
        <v>8</v>
      </c>
      <c r="Z70" s="1" t="s">
        <v>42</v>
      </c>
    </row>
    <row r="71" spans="1:26" x14ac:dyDescent="0.25">
      <c r="A71" s="1">
        <v>70</v>
      </c>
      <c r="B71" s="1" t="s">
        <v>10</v>
      </c>
      <c r="C71" s="1" t="s">
        <v>27</v>
      </c>
      <c r="D71" s="1">
        <v>45500</v>
      </c>
      <c r="E71" s="1">
        <v>20500</v>
      </c>
      <c r="F71" s="1">
        <f t="shared" si="2"/>
        <v>25000</v>
      </c>
      <c r="G71" s="1">
        <f t="shared" si="3"/>
        <v>0.5494505494505495</v>
      </c>
      <c r="H71" s="1">
        <v>5</v>
      </c>
      <c r="I71" s="1">
        <v>4</v>
      </c>
      <c r="J71" s="1" t="s">
        <v>38</v>
      </c>
      <c r="K71" s="1" t="s">
        <v>41</v>
      </c>
      <c r="L71" s="1">
        <v>87</v>
      </c>
      <c r="M71" s="4">
        <v>9</v>
      </c>
      <c r="N71" s="4">
        <v>510</v>
      </c>
      <c r="O71" s="4">
        <v>12100</v>
      </c>
      <c r="P71" s="4">
        <v>5100</v>
      </c>
      <c r="Q71" s="4">
        <v>570</v>
      </c>
      <c r="R71" s="4">
        <v>4.0999999999999996</v>
      </c>
      <c r="S71" s="4" t="s">
        <v>54</v>
      </c>
      <c r="T71" s="4" t="s">
        <v>56</v>
      </c>
      <c r="U71" s="4" t="s">
        <v>55</v>
      </c>
      <c r="V71" s="1">
        <v>3</v>
      </c>
      <c r="W71" s="1">
        <v>1</v>
      </c>
      <c r="X71" s="1">
        <v>14</v>
      </c>
      <c r="Y71" s="1">
        <v>10</v>
      </c>
      <c r="Z71" s="1" t="s">
        <v>40</v>
      </c>
    </row>
    <row r="72" spans="1:26" x14ac:dyDescent="0.25">
      <c r="A72" s="1">
        <v>71</v>
      </c>
      <c r="B72" s="1" t="s">
        <v>28</v>
      </c>
      <c r="C72" s="1" t="s">
        <v>29</v>
      </c>
      <c r="D72" s="1">
        <v>45000</v>
      </c>
      <c r="E72" s="1">
        <v>20000</v>
      </c>
      <c r="F72" s="1">
        <f t="shared" si="2"/>
        <v>25000</v>
      </c>
      <c r="G72" s="1">
        <f t="shared" si="3"/>
        <v>0.55555555555555558</v>
      </c>
      <c r="H72" s="1">
        <v>5</v>
      </c>
      <c r="I72" s="1">
        <v>5</v>
      </c>
      <c r="J72" s="1" t="s">
        <v>38</v>
      </c>
      <c r="K72" s="1" t="s">
        <v>41</v>
      </c>
      <c r="L72" s="1">
        <v>95</v>
      </c>
      <c r="M72" s="4">
        <v>5</v>
      </c>
      <c r="N72" s="4">
        <v>190</v>
      </c>
      <c r="O72" s="4">
        <v>5000</v>
      </c>
      <c r="P72" s="4">
        <v>2400</v>
      </c>
      <c r="Q72" s="4">
        <v>160</v>
      </c>
      <c r="R72" s="4">
        <v>3.2</v>
      </c>
      <c r="S72" s="4" t="s">
        <v>56</v>
      </c>
      <c r="T72" s="4" t="s">
        <v>56</v>
      </c>
      <c r="U72" s="4" t="s">
        <v>57</v>
      </c>
      <c r="V72" s="1">
        <v>5</v>
      </c>
      <c r="W72" s="1">
        <v>4</v>
      </c>
      <c r="X72" s="1">
        <v>8</v>
      </c>
      <c r="Y72" s="1">
        <v>6</v>
      </c>
      <c r="Z72" s="1" t="s">
        <v>38</v>
      </c>
    </row>
    <row r="73" spans="1:26" x14ac:dyDescent="0.25">
      <c r="A73" s="1">
        <v>72</v>
      </c>
      <c r="B73" s="1" t="s">
        <v>28</v>
      </c>
      <c r="C73" s="1" t="s">
        <v>29</v>
      </c>
      <c r="D73" s="1">
        <v>44500</v>
      </c>
      <c r="E73" s="1">
        <v>19500</v>
      </c>
      <c r="F73" s="1">
        <f t="shared" si="2"/>
        <v>25000</v>
      </c>
      <c r="G73" s="1">
        <f t="shared" si="3"/>
        <v>0.5617977528089888</v>
      </c>
      <c r="H73" s="1">
        <v>4</v>
      </c>
      <c r="I73" s="1">
        <v>5</v>
      </c>
      <c r="J73" s="1" t="s">
        <v>38</v>
      </c>
      <c r="K73" s="1" t="s">
        <v>43</v>
      </c>
      <c r="L73" s="1">
        <v>83</v>
      </c>
      <c r="M73" s="4">
        <v>13</v>
      </c>
      <c r="N73" s="4">
        <v>760</v>
      </c>
      <c r="O73" s="4">
        <v>18600</v>
      </c>
      <c r="P73" s="4">
        <v>6800</v>
      </c>
      <c r="Q73" s="4">
        <v>990</v>
      </c>
      <c r="R73" s="4">
        <v>4.5</v>
      </c>
      <c r="S73" s="4" t="s">
        <v>54</v>
      </c>
      <c r="T73" s="4" t="s">
        <v>54</v>
      </c>
      <c r="U73" s="4" t="s">
        <v>55</v>
      </c>
      <c r="V73" s="1">
        <v>4</v>
      </c>
      <c r="W73" s="1">
        <v>0</v>
      </c>
      <c r="X73" s="1">
        <v>10</v>
      </c>
      <c r="Y73" s="1">
        <v>9</v>
      </c>
      <c r="Z73" s="1" t="s">
        <v>40</v>
      </c>
    </row>
    <row r="74" spans="1:26" x14ac:dyDescent="0.25">
      <c r="A74" s="1">
        <v>73</v>
      </c>
      <c r="B74" s="1" t="s">
        <v>28</v>
      </c>
      <c r="C74" s="1" t="s">
        <v>29</v>
      </c>
      <c r="D74" s="1">
        <v>44000</v>
      </c>
      <c r="E74" s="1">
        <v>19000</v>
      </c>
      <c r="F74" s="1">
        <f t="shared" si="2"/>
        <v>25000</v>
      </c>
      <c r="G74" s="1">
        <f t="shared" si="3"/>
        <v>0.56818181818181823</v>
      </c>
      <c r="H74" s="1">
        <v>4</v>
      </c>
      <c r="I74" s="1">
        <v>5</v>
      </c>
      <c r="J74" s="1" t="s">
        <v>38</v>
      </c>
      <c r="K74" s="1" t="s">
        <v>43</v>
      </c>
      <c r="L74" s="1">
        <v>97</v>
      </c>
      <c r="M74" s="4">
        <v>8</v>
      </c>
      <c r="N74" s="4">
        <v>430</v>
      </c>
      <c r="O74" s="4">
        <v>9500</v>
      </c>
      <c r="P74" s="4">
        <v>4550</v>
      </c>
      <c r="Q74" s="4">
        <v>370</v>
      </c>
      <c r="R74" s="4">
        <v>3.8</v>
      </c>
      <c r="S74" s="4" t="s">
        <v>56</v>
      </c>
      <c r="T74" s="4" t="s">
        <v>54</v>
      </c>
      <c r="U74" s="4" t="s">
        <v>58</v>
      </c>
      <c r="V74" s="1">
        <v>2</v>
      </c>
      <c r="W74" s="1">
        <v>3</v>
      </c>
      <c r="X74" s="1">
        <v>13</v>
      </c>
      <c r="Y74" s="1">
        <v>8</v>
      </c>
      <c r="Z74" s="1" t="s">
        <v>42</v>
      </c>
    </row>
    <row r="75" spans="1:26" x14ac:dyDescent="0.25">
      <c r="A75" s="1">
        <v>74</v>
      </c>
      <c r="B75" s="1" t="s">
        <v>28</v>
      </c>
      <c r="C75" s="1" t="s">
        <v>29</v>
      </c>
      <c r="D75" s="1">
        <v>43500</v>
      </c>
      <c r="E75" s="1">
        <v>18500</v>
      </c>
      <c r="F75" s="1">
        <f t="shared" si="2"/>
        <v>25000</v>
      </c>
      <c r="G75" s="1">
        <f t="shared" si="3"/>
        <v>0.57471264367816088</v>
      </c>
      <c r="H75" s="1">
        <v>3</v>
      </c>
      <c r="I75" s="1">
        <v>6</v>
      </c>
      <c r="J75" s="1" t="s">
        <v>38</v>
      </c>
      <c r="K75" s="1" t="s">
        <v>43</v>
      </c>
      <c r="L75" s="1">
        <v>92</v>
      </c>
      <c r="M75" s="4">
        <v>20</v>
      </c>
      <c r="N75" s="4">
        <v>1180</v>
      </c>
      <c r="O75" s="4">
        <v>29200</v>
      </c>
      <c r="P75" s="4">
        <v>9600</v>
      </c>
      <c r="Q75" s="4">
        <v>1950</v>
      </c>
      <c r="R75" s="4">
        <v>5</v>
      </c>
      <c r="S75" s="4" t="s">
        <v>54</v>
      </c>
      <c r="T75" s="4" t="s">
        <v>54</v>
      </c>
      <c r="U75" s="4" t="s">
        <v>55</v>
      </c>
      <c r="V75" s="1">
        <v>3</v>
      </c>
      <c r="W75" s="1">
        <v>2</v>
      </c>
      <c r="X75" s="1">
        <v>5</v>
      </c>
      <c r="Y75" s="1">
        <v>7</v>
      </c>
      <c r="Z75" s="1" t="s">
        <v>38</v>
      </c>
    </row>
    <row r="76" spans="1:26" x14ac:dyDescent="0.25">
      <c r="A76" s="1">
        <v>75</v>
      </c>
      <c r="B76" s="1" t="s">
        <v>28</v>
      </c>
      <c r="C76" s="1" t="s">
        <v>29</v>
      </c>
      <c r="D76" s="1">
        <v>43000</v>
      </c>
      <c r="E76" s="1">
        <v>18000</v>
      </c>
      <c r="F76" s="1">
        <f t="shared" si="2"/>
        <v>25000</v>
      </c>
      <c r="G76" s="1">
        <f t="shared" si="3"/>
        <v>0.58139534883720934</v>
      </c>
      <c r="H76" s="1">
        <v>7</v>
      </c>
      <c r="I76" s="1">
        <v>6</v>
      </c>
      <c r="J76" s="1" t="s">
        <v>40</v>
      </c>
      <c r="K76" s="1" t="s">
        <v>41</v>
      </c>
      <c r="L76" s="1">
        <v>86</v>
      </c>
      <c r="M76" s="4">
        <v>10</v>
      </c>
      <c r="N76" s="4">
        <v>590</v>
      </c>
      <c r="O76" s="4">
        <v>14200</v>
      </c>
      <c r="P76" s="4">
        <v>5800</v>
      </c>
      <c r="Q76" s="4">
        <v>720</v>
      </c>
      <c r="R76" s="4">
        <v>4.2</v>
      </c>
      <c r="S76" s="4" t="s">
        <v>54</v>
      </c>
      <c r="T76" s="4" t="s">
        <v>56</v>
      </c>
      <c r="U76" s="4" t="s">
        <v>55</v>
      </c>
      <c r="V76" s="1">
        <v>4</v>
      </c>
      <c r="W76" s="1">
        <v>6</v>
      </c>
      <c r="X76" s="1">
        <v>9</v>
      </c>
      <c r="Y76" s="1">
        <v>10</v>
      </c>
      <c r="Z76" s="1" t="s">
        <v>40</v>
      </c>
    </row>
    <row r="77" spans="1:26" x14ac:dyDescent="0.25">
      <c r="A77" s="1">
        <v>76</v>
      </c>
      <c r="B77" s="1" t="s">
        <v>28</v>
      </c>
      <c r="C77" s="1" t="s">
        <v>29</v>
      </c>
      <c r="D77" s="1">
        <v>42500</v>
      </c>
      <c r="E77" s="1">
        <v>17500</v>
      </c>
      <c r="F77" s="1">
        <f t="shared" si="2"/>
        <v>25000</v>
      </c>
      <c r="G77" s="1">
        <f t="shared" si="3"/>
        <v>0.58823529411764708</v>
      </c>
      <c r="H77" s="1">
        <v>4</v>
      </c>
      <c r="I77" s="1">
        <v>3</v>
      </c>
      <c r="J77" s="1" t="s">
        <v>38</v>
      </c>
      <c r="K77" s="1" t="s">
        <v>43</v>
      </c>
      <c r="L77" s="1">
        <v>99</v>
      </c>
      <c r="M77" s="4">
        <v>6</v>
      </c>
      <c r="N77" s="4">
        <v>240</v>
      </c>
      <c r="O77" s="4">
        <v>6100</v>
      </c>
      <c r="P77" s="4">
        <v>3000</v>
      </c>
      <c r="Q77" s="4">
        <v>230</v>
      </c>
      <c r="R77" s="4">
        <v>3.4</v>
      </c>
      <c r="S77" s="4" t="s">
        <v>56</v>
      </c>
      <c r="T77" s="4" t="s">
        <v>56</v>
      </c>
      <c r="U77" s="4" t="s">
        <v>58</v>
      </c>
      <c r="V77" s="1">
        <v>5</v>
      </c>
      <c r="W77" s="1">
        <v>1</v>
      </c>
      <c r="X77" s="1">
        <v>12</v>
      </c>
      <c r="Y77" s="1">
        <v>8</v>
      </c>
      <c r="Z77" s="1" t="s">
        <v>42</v>
      </c>
    </row>
    <row r="78" spans="1:26" x14ac:dyDescent="0.25">
      <c r="A78" s="1">
        <v>77</v>
      </c>
      <c r="B78" s="1" t="s">
        <v>28</v>
      </c>
      <c r="C78" s="1" t="s">
        <v>29</v>
      </c>
      <c r="D78" s="1">
        <v>42000</v>
      </c>
      <c r="E78" s="1">
        <v>17000</v>
      </c>
      <c r="F78" s="1">
        <f t="shared" si="2"/>
        <v>25000</v>
      </c>
      <c r="G78" s="1">
        <f t="shared" si="3"/>
        <v>0.59523809523809523</v>
      </c>
      <c r="H78" s="1">
        <v>4</v>
      </c>
      <c r="I78" s="1">
        <v>5</v>
      </c>
      <c r="J78" s="1" t="s">
        <v>38</v>
      </c>
      <c r="K78" s="1" t="s">
        <v>43</v>
      </c>
      <c r="L78" s="1">
        <v>90</v>
      </c>
      <c r="M78" s="4">
        <v>15</v>
      </c>
      <c r="N78" s="4">
        <v>870</v>
      </c>
      <c r="O78" s="4">
        <v>21400</v>
      </c>
      <c r="P78" s="4">
        <v>7500</v>
      </c>
      <c r="Q78" s="4">
        <v>1220</v>
      </c>
      <c r="R78" s="4">
        <v>4.5999999999999996</v>
      </c>
      <c r="S78" s="4" t="s">
        <v>54</v>
      </c>
      <c r="T78" s="4" t="s">
        <v>54</v>
      </c>
      <c r="U78" s="4" t="s">
        <v>55</v>
      </c>
      <c r="V78" s="1">
        <v>4</v>
      </c>
      <c r="W78" s="1">
        <v>4</v>
      </c>
      <c r="X78" s="1">
        <v>7</v>
      </c>
      <c r="Y78" s="1">
        <v>9</v>
      </c>
      <c r="Z78" s="1" t="s">
        <v>40</v>
      </c>
    </row>
    <row r="79" spans="1:26" x14ac:dyDescent="0.25">
      <c r="A79" s="1">
        <v>78</v>
      </c>
      <c r="B79" s="1" t="s">
        <v>28</v>
      </c>
      <c r="C79" s="1" t="s">
        <v>29</v>
      </c>
      <c r="D79" s="1">
        <v>41500</v>
      </c>
      <c r="E79" s="1">
        <v>16500</v>
      </c>
      <c r="F79" s="1">
        <f t="shared" si="2"/>
        <v>25000</v>
      </c>
      <c r="G79" s="1">
        <f t="shared" si="3"/>
        <v>0.60240963855421692</v>
      </c>
      <c r="H79" s="1">
        <v>4</v>
      </c>
      <c r="I79" s="1">
        <v>4</v>
      </c>
      <c r="J79" s="1" t="s">
        <v>38</v>
      </c>
      <c r="K79" s="1" t="s">
        <v>43</v>
      </c>
      <c r="L79" s="1">
        <v>84</v>
      </c>
      <c r="M79" s="4">
        <v>3</v>
      </c>
      <c r="N79" s="4">
        <v>140</v>
      </c>
      <c r="O79" s="4">
        <v>3900</v>
      </c>
      <c r="P79" s="4">
        <v>1850</v>
      </c>
      <c r="Q79" s="4">
        <v>95</v>
      </c>
      <c r="R79" s="4">
        <v>2.8</v>
      </c>
      <c r="S79" s="4" t="s">
        <v>56</v>
      </c>
      <c r="T79" s="4" t="s">
        <v>56</v>
      </c>
      <c r="U79" s="4" t="s">
        <v>57</v>
      </c>
      <c r="V79" s="1">
        <v>3</v>
      </c>
      <c r="W79" s="1">
        <v>2</v>
      </c>
      <c r="X79" s="1">
        <v>11</v>
      </c>
      <c r="Y79" s="1">
        <v>7</v>
      </c>
      <c r="Z79" s="1" t="s">
        <v>38</v>
      </c>
    </row>
    <row r="80" spans="1:26" x14ac:dyDescent="0.25">
      <c r="A80" s="1">
        <v>79</v>
      </c>
      <c r="B80" s="1" t="s">
        <v>28</v>
      </c>
      <c r="C80" s="1" t="s">
        <v>29</v>
      </c>
      <c r="D80" s="1">
        <v>41000</v>
      </c>
      <c r="E80" s="1">
        <v>16000</v>
      </c>
      <c r="F80" s="1">
        <f t="shared" si="2"/>
        <v>25000</v>
      </c>
      <c r="G80" s="1">
        <f t="shared" si="3"/>
        <v>0.6097560975609756</v>
      </c>
      <c r="H80" s="1">
        <v>4</v>
      </c>
      <c r="I80" s="1">
        <v>4</v>
      </c>
      <c r="J80" s="1" t="s">
        <v>38</v>
      </c>
      <c r="K80" s="1" t="s">
        <v>43</v>
      </c>
      <c r="L80" s="1">
        <v>96</v>
      </c>
      <c r="M80" s="4">
        <v>17</v>
      </c>
      <c r="N80" s="4">
        <v>990</v>
      </c>
      <c r="O80" s="4">
        <v>24800</v>
      </c>
      <c r="P80" s="4">
        <v>8500</v>
      </c>
      <c r="Q80" s="4">
        <v>1500</v>
      </c>
      <c r="R80" s="4">
        <v>4.8</v>
      </c>
      <c r="S80" s="4" t="s">
        <v>54</v>
      </c>
      <c r="T80" s="4" t="s">
        <v>54</v>
      </c>
      <c r="U80" s="4" t="s">
        <v>55</v>
      </c>
      <c r="V80" s="1">
        <v>5</v>
      </c>
      <c r="W80" s="1">
        <v>0</v>
      </c>
      <c r="X80" s="1">
        <v>6</v>
      </c>
      <c r="Y80" s="1">
        <v>6</v>
      </c>
      <c r="Z80" s="1" t="s">
        <v>42</v>
      </c>
    </row>
    <row r="81" spans="1:26" x14ac:dyDescent="0.25">
      <c r="A81" s="1">
        <v>80</v>
      </c>
      <c r="B81" s="1" t="s">
        <v>28</v>
      </c>
      <c r="C81" s="1" t="s">
        <v>29</v>
      </c>
      <c r="D81" s="1">
        <v>40500</v>
      </c>
      <c r="E81" s="1">
        <v>15500</v>
      </c>
      <c r="F81" s="1">
        <f t="shared" si="2"/>
        <v>25000</v>
      </c>
      <c r="G81" s="1">
        <f t="shared" si="3"/>
        <v>0.61728395061728392</v>
      </c>
      <c r="H81" s="1">
        <v>3</v>
      </c>
      <c r="I81" s="1">
        <v>5</v>
      </c>
      <c r="J81" s="1" t="s">
        <v>38</v>
      </c>
      <c r="K81" s="1" t="s">
        <v>43</v>
      </c>
      <c r="L81" s="1">
        <v>88</v>
      </c>
      <c r="M81" s="4">
        <v>11</v>
      </c>
      <c r="N81" s="4">
        <v>620</v>
      </c>
      <c r="O81" s="4">
        <v>15400</v>
      </c>
      <c r="P81" s="4">
        <v>5850</v>
      </c>
      <c r="Q81" s="4">
        <v>810</v>
      </c>
      <c r="R81" s="4">
        <v>4.2</v>
      </c>
      <c r="S81" s="4" t="s">
        <v>54</v>
      </c>
      <c r="T81" s="4" t="s">
        <v>56</v>
      </c>
      <c r="U81" s="4" t="s">
        <v>55</v>
      </c>
      <c r="V81" s="1">
        <v>4</v>
      </c>
      <c r="W81" s="1">
        <v>5</v>
      </c>
      <c r="X81" s="1">
        <v>15</v>
      </c>
      <c r="Y81" s="1">
        <v>10</v>
      </c>
      <c r="Z81" s="1" t="s">
        <v>40</v>
      </c>
    </row>
    <row r="82" spans="1:26" x14ac:dyDescent="0.25">
      <c r="A82" s="1">
        <v>81</v>
      </c>
      <c r="B82" s="1" t="s">
        <v>30</v>
      </c>
      <c r="C82" s="1" t="s">
        <v>31</v>
      </c>
      <c r="D82" s="1">
        <v>40000</v>
      </c>
      <c r="E82" s="1">
        <v>15000</v>
      </c>
      <c r="F82" s="1">
        <f t="shared" si="2"/>
        <v>25000</v>
      </c>
      <c r="G82" s="1">
        <f t="shared" si="3"/>
        <v>0.625</v>
      </c>
      <c r="H82" s="1">
        <v>3</v>
      </c>
      <c r="I82" s="1">
        <v>5</v>
      </c>
      <c r="J82" s="1" t="s">
        <v>38</v>
      </c>
      <c r="K82" s="1" t="s">
        <v>43</v>
      </c>
      <c r="L82" s="1">
        <v>94</v>
      </c>
      <c r="M82" s="4">
        <v>7</v>
      </c>
      <c r="N82" s="4">
        <v>320</v>
      </c>
      <c r="O82" s="4">
        <v>7900</v>
      </c>
      <c r="P82" s="4">
        <v>4000</v>
      </c>
      <c r="Q82" s="4">
        <v>290</v>
      </c>
      <c r="R82" s="4">
        <v>3.6</v>
      </c>
      <c r="S82" s="4" t="s">
        <v>56</v>
      </c>
      <c r="T82" s="4" t="s">
        <v>54</v>
      </c>
      <c r="U82" s="4" t="s">
        <v>58</v>
      </c>
      <c r="V82" s="1">
        <v>2</v>
      </c>
      <c r="W82" s="1">
        <v>3</v>
      </c>
      <c r="X82" s="1">
        <v>8</v>
      </c>
      <c r="Y82" s="1">
        <v>8</v>
      </c>
      <c r="Z82" s="1" t="s">
        <v>38</v>
      </c>
    </row>
    <row r="83" spans="1:26" x14ac:dyDescent="0.25">
      <c r="A83" s="1">
        <v>82</v>
      </c>
      <c r="B83" s="1" t="s">
        <v>30</v>
      </c>
      <c r="C83" s="1" t="s">
        <v>31</v>
      </c>
      <c r="D83" s="1">
        <v>39500</v>
      </c>
      <c r="E83" s="1">
        <v>14500</v>
      </c>
      <c r="F83" s="1">
        <f t="shared" si="2"/>
        <v>25000</v>
      </c>
      <c r="G83" s="1">
        <f t="shared" si="3"/>
        <v>0.63291139240506333</v>
      </c>
      <c r="H83" s="1">
        <v>3</v>
      </c>
      <c r="I83" s="1">
        <v>5</v>
      </c>
      <c r="J83" s="1" t="s">
        <v>38</v>
      </c>
      <c r="K83" s="1" t="s">
        <v>43</v>
      </c>
      <c r="L83" s="1">
        <v>85</v>
      </c>
      <c r="M83" s="4">
        <v>14</v>
      </c>
      <c r="N83" s="4">
        <v>810</v>
      </c>
      <c r="O83" s="4">
        <v>20100</v>
      </c>
      <c r="P83" s="4">
        <v>7350</v>
      </c>
      <c r="Q83" s="4">
        <v>1110</v>
      </c>
      <c r="R83" s="4">
        <v>4.5999999999999996</v>
      </c>
      <c r="S83" s="4" t="s">
        <v>54</v>
      </c>
      <c r="T83" s="4" t="s">
        <v>54</v>
      </c>
      <c r="U83" s="4" t="s">
        <v>55</v>
      </c>
      <c r="V83" s="1">
        <v>4</v>
      </c>
      <c r="W83" s="1">
        <v>1</v>
      </c>
      <c r="X83" s="1">
        <v>10</v>
      </c>
      <c r="Y83" s="1">
        <v>9</v>
      </c>
      <c r="Z83" s="1" t="s">
        <v>40</v>
      </c>
    </row>
    <row r="84" spans="1:26" x14ac:dyDescent="0.25">
      <c r="A84" s="1">
        <v>83</v>
      </c>
      <c r="B84" s="1" t="s">
        <v>30</v>
      </c>
      <c r="C84" s="1" t="s">
        <v>31</v>
      </c>
      <c r="D84" s="1">
        <v>39000</v>
      </c>
      <c r="E84" s="1">
        <v>14000</v>
      </c>
      <c r="F84" s="1">
        <f t="shared" si="2"/>
        <v>25000</v>
      </c>
      <c r="G84" s="1">
        <f t="shared" si="3"/>
        <v>0.64102564102564108</v>
      </c>
      <c r="H84" s="1">
        <v>3</v>
      </c>
      <c r="I84" s="1">
        <v>5</v>
      </c>
      <c r="J84" s="1" t="s">
        <v>38</v>
      </c>
      <c r="K84" s="1" t="s">
        <v>43</v>
      </c>
      <c r="L84" s="1">
        <v>97</v>
      </c>
      <c r="M84" s="4">
        <v>5</v>
      </c>
      <c r="N84" s="4">
        <v>175</v>
      </c>
      <c r="O84" s="4">
        <v>4700</v>
      </c>
      <c r="P84" s="4">
        <v>2280</v>
      </c>
      <c r="Q84" s="4">
        <v>145</v>
      </c>
      <c r="R84" s="4">
        <v>3.1</v>
      </c>
      <c r="S84" s="4" t="s">
        <v>56</v>
      </c>
      <c r="T84" s="4" t="s">
        <v>56</v>
      </c>
      <c r="U84" s="4" t="s">
        <v>57</v>
      </c>
      <c r="V84" s="1">
        <v>3</v>
      </c>
      <c r="W84" s="1">
        <v>4</v>
      </c>
      <c r="X84" s="1">
        <v>5</v>
      </c>
      <c r="Y84" s="1">
        <v>7</v>
      </c>
      <c r="Z84" s="1" t="s">
        <v>42</v>
      </c>
    </row>
    <row r="85" spans="1:26" x14ac:dyDescent="0.25">
      <c r="A85" s="1">
        <v>84</v>
      </c>
      <c r="B85" s="1" t="s">
        <v>30</v>
      </c>
      <c r="C85" s="1" t="s">
        <v>31</v>
      </c>
      <c r="D85" s="1">
        <v>38500</v>
      </c>
      <c r="E85" s="1">
        <v>13500</v>
      </c>
      <c r="F85" s="1">
        <f t="shared" si="2"/>
        <v>25000</v>
      </c>
      <c r="G85" s="1">
        <f t="shared" si="3"/>
        <v>0.64935064935064934</v>
      </c>
      <c r="H85" s="1">
        <v>4</v>
      </c>
      <c r="I85" s="1">
        <v>5</v>
      </c>
      <c r="J85" s="1" t="s">
        <v>38</v>
      </c>
      <c r="K85" s="1" t="s">
        <v>43</v>
      </c>
      <c r="L85" s="1">
        <v>91</v>
      </c>
      <c r="M85" s="4">
        <v>18</v>
      </c>
      <c r="N85" s="4">
        <v>1010</v>
      </c>
      <c r="O85" s="4">
        <v>25200</v>
      </c>
      <c r="P85" s="4">
        <v>8650</v>
      </c>
      <c r="Q85" s="4">
        <v>1620</v>
      </c>
      <c r="R85" s="4">
        <v>4.9000000000000004</v>
      </c>
      <c r="S85" s="4" t="s">
        <v>54</v>
      </c>
      <c r="T85" s="4" t="s">
        <v>54</v>
      </c>
      <c r="U85" s="4" t="s">
        <v>55</v>
      </c>
      <c r="V85" s="1">
        <v>5</v>
      </c>
      <c r="W85" s="1">
        <v>2</v>
      </c>
      <c r="X85" s="1">
        <v>13</v>
      </c>
      <c r="Y85" s="1">
        <v>10</v>
      </c>
      <c r="Z85" s="1" t="s">
        <v>38</v>
      </c>
    </row>
    <row r="86" spans="1:26" x14ac:dyDescent="0.25">
      <c r="A86" s="1">
        <v>85</v>
      </c>
      <c r="B86" s="1" t="s">
        <v>30</v>
      </c>
      <c r="C86" s="1" t="s">
        <v>31</v>
      </c>
      <c r="D86" s="1">
        <v>38000</v>
      </c>
      <c r="E86" s="1">
        <v>13000</v>
      </c>
      <c r="F86" s="1">
        <f t="shared" si="2"/>
        <v>25000</v>
      </c>
      <c r="G86" s="1">
        <f t="shared" si="3"/>
        <v>0.65789473684210531</v>
      </c>
      <c r="H86" s="1">
        <v>4</v>
      </c>
      <c r="I86" s="1">
        <v>5</v>
      </c>
      <c r="J86" s="1" t="s">
        <v>38</v>
      </c>
      <c r="K86" s="1" t="s">
        <v>43</v>
      </c>
      <c r="L86" s="1">
        <v>89</v>
      </c>
      <c r="M86" s="4">
        <v>9</v>
      </c>
      <c r="N86" s="4">
        <v>540</v>
      </c>
      <c r="O86" s="4">
        <v>12300</v>
      </c>
      <c r="P86" s="4">
        <v>5150</v>
      </c>
      <c r="Q86" s="4">
        <v>580</v>
      </c>
      <c r="R86" s="4">
        <v>4</v>
      </c>
      <c r="S86" s="4" t="s">
        <v>54</v>
      </c>
      <c r="T86" s="4" t="s">
        <v>56</v>
      </c>
      <c r="U86" s="4" t="s">
        <v>55</v>
      </c>
      <c r="V86" s="1">
        <v>4</v>
      </c>
      <c r="W86" s="1">
        <v>6</v>
      </c>
      <c r="X86" s="1">
        <v>9</v>
      </c>
      <c r="Y86" s="1">
        <v>6</v>
      </c>
      <c r="Z86" s="1" t="s">
        <v>40</v>
      </c>
    </row>
    <row r="87" spans="1:26" x14ac:dyDescent="0.25">
      <c r="A87" s="1">
        <v>86</v>
      </c>
      <c r="B87" s="1" t="s">
        <v>30</v>
      </c>
      <c r="C87" s="1" t="s">
        <v>31</v>
      </c>
      <c r="D87" s="1">
        <v>37500</v>
      </c>
      <c r="E87" s="1">
        <v>12500</v>
      </c>
      <c r="F87" s="1">
        <f t="shared" si="2"/>
        <v>25000</v>
      </c>
      <c r="G87" s="1">
        <f t="shared" si="3"/>
        <v>0.66666666666666663</v>
      </c>
      <c r="H87" s="1">
        <v>4</v>
      </c>
      <c r="I87" s="1">
        <v>5</v>
      </c>
      <c r="J87" s="1" t="s">
        <v>38</v>
      </c>
      <c r="K87" s="1" t="s">
        <v>43</v>
      </c>
      <c r="L87" s="1">
        <v>98</v>
      </c>
      <c r="M87" s="4">
        <v>12</v>
      </c>
      <c r="N87" s="4">
        <v>690</v>
      </c>
      <c r="O87" s="4">
        <v>16900</v>
      </c>
      <c r="P87" s="4">
        <v>6300</v>
      </c>
      <c r="Q87" s="4">
        <v>900</v>
      </c>
      <c r="R87" s="4">
        <v>4.3</v>
      </c>
      <c r="S87" s="4" t="s">
        <v>54</v>
      </c>
      <c r="T87" s="4" t="s">
        <v>54</v>
      </c>
      <c r="U87" s="4" t="s">
        <v>55</v>
      </c>
      <c r="V87" s="1">
        <v>3</v>
      </c>
      <c r="W87" s="1">
        <v>0</v>
      </c>
      <c r="X87" s="1">
        <v>12</v>
      </c>
      <c r="Y87" s="1">
        <v>8</v>
      </c>
      <c r="Z87" s="1" t="s">
        <v>42</v>
      </c>
    </row>
    <row r="88" spans="1:26" x14ac:dyDescent="0.25">
      <c r="A88" s="1">
        <v>87</v>
      </c>
      <c r="B88" s="1" t="s">
        <v>30</v>
      </c>
      <c r="C88" s="1" t="s">
        <v>31</v>
      </c>
      <c r="D88" s="1">
        <v>37000</v>
      </c>
      <c r="E88" s="1">
        <v>12000</v>
      </c>
      <c r="F88" s="1">
        <f t="shared" si="2"/>
        <v>25000</v>
      </c>
      <c r="G88" s="1">
        <f t="shared" si="3"/>
        <v>0.67567567567567566</v>
      </c>
      <c r="H88" s="1">
        <v>4</v>
      </c>
      <c r="I88" s="1">
        <v>6</v>
      </c>
      <c r="J88" s="1" t="s">
        <v>38</v>
      </c>
      <c r="K88" s="1" t="s">
        <v>43</v>
      </c>
      <c r="L88" s="1">
        <v>86</v>
      </c>
      <c r="M88" s="4">
        <v>6</v>
      </c>
      <c r="N88" s="4">
        <v>260</v>
      </c>
      <c r="O88" s="4">
        <v>6500</v>
      </c>
      <c r="P88" s="4">
        <v>3200</v>
      </c>
      <c r="Q88" s="4">
        <v>240</v>
      </c>
      <c r="R88" s="4">
        <v>3.5</v>
      </c>
      <c r="S88" s="4" t="s">
        <v>56</v>
      </c>
      <c r="T88" s="4" t="s">
        <v>56</v>
      </c>
      <c r="U88" s="4" t="s">
        <v>58</v>
      </c>
      <c r="V88" s="1">
        <v>4</v>
      </c>
      <c r="W88" s="1">
        <v>3</v>
      </c>
      <c r="X88" s="1">
        <v>7</v>
      </c>
      <c r="Y88" s="1">
        <v>9</v>
      </c>
      <c r="Z88" s="1" t="s">
        <v>40</v>
      </c>
    </row>
    <row r="89" spans="1:26" x14ac:dyDescent="0.25">
      <c r="A89" s="1">
        <v>88</v>
      </c>
      <c r="B89" s="1" t="s">
        <v>30</v>
      </c>
      <c r="C89" s="1" t="s">
        <v>31</v>
      </c>
      <c r="D89" s="1">
        <v>36500</v>
      </c>
      <c r="E89" s="1">
        <v>11500</v>
      </c>
      <c r="F89" s="1">
        <f t="shared" si="2"/>
        <v>25000</v>
      </c>
      <c r="G89" s="1">
        <f t="shared" si="3"/>
        <v>0.68493150684931503</v>
      </c>
      <c r="H89" s="1">
        <v>4</v>
      </c>
      <c r="I89" s="1">
        <v>6</v>
      </c>
      <c r="J89" s="1" t="s">
        <v>38</v>
      </c>
      <c r="K89" s="1" t="s">
        <v>43</v>
      </c>
      <c r="L89" s="1">
        <v>95</v>
      </c>
      <c r="M89" s="4">
        <v>16</v>
      </c>
      <c r="N89" s="4">
        <v>930</v>
      </c>
      <c r="O89" s="4">
        <v>22900</v>
      </c>
      <c r="P89" s="4">
        <v>7950</v>
      </c>
      <c r="Q89" s="4">
        <v>1320</v>
      </c>
      <c r="R89" s="4">
        <v>4.7</v>
      </c>
      <c r="S89" s="4" t="s">
        <v>54</v>
      </c>
      <c r="T89" s="4" t="s">
        <v>54</v>
      </c>
      <c r="U89" s="4" t="s">
        <v>55</v>
      </c>
      <c r="V89" s="1">
        <v>5</v>
      </c>
      <c r="W89" s="1">
        <v>1</v>
      </c>
      <c r="X89" s="1">
        <v>11</v>
      </c>
      <c r="Y89" s="1">
        <v>7</v>
      </c>
      <c r="Z89" s="1" t="s">
        <v>38</v>
      </c>
    </row>
    <row r="90" spans="1:26" x14ac:dyDescent="0.25">
      <c r="A90" s="1">
        <v>89</v>
      </c>
      <c r="B90" s="1" t="s">
        <v>30</v>
      </c>
      <c r="C90" s="1" t="s">
        <v>31</v>
      </c>
      <c r="D90" s="1">
        <v>36000</v>
      </c>
      <c r="E90" s="1">
        <v>11000</v>
      </c>
      <c r="F90" s="1">
        <f t="shared" si="2"/>
        <v>25000</v>
      </c>
      <c r="G90" s="1">
        <f t="shared" si="3"/>
        <v>0.69444444444444442</v>
      </c>
      <c r="H90" s="1">
        <v>6</v>
      </c>
      <c r="I90" s="1">
        <v>6</v>
      </c>
      <c r="J90" s="1" t="s">
        <v>38</v>
      </c>
      <c r="K90" s="1" t="s">
        <v>41</v>
      </c>
      <c r="L90" s="1">
        <v>87</v>
      </c>
      <c r="M90" s="4">
        <v>4</v>
      </c>
      <c r="N90" s="4">
        <v>155</v>
      </c>
      <c r="O90" s="4">
        <v>4200</v>
      </c>
      <c r="P90" s="4">
        <v>2050</v>
      </c>
      <c r="Q90" s="4">
        <v>125</v>
      </c>
      <c r="R90" s="4">
        <v>3</v>
      </c>
      <c r="S90" s="4" t="s">
        <v>56</v>
      </c>
      <c r="T90" s="4" t="s">
        <v>56</v>
      </c>
      <c r="U90" s="4" t="s">
        <v>57</v>
      </c>
      <c r="V90" s="1">
        <v>2</v>
      </c>
      <c r="W90" s="1">
        <v>5</v>
      </c>
      <c r="X90" s="1">
        <v>6</v>
      </c>
      <c r="Y90" s="1">
        <v>8</v>
      </c>
      <c r="Z90" s="1" t="s">
        <v>42</v>
      </c>
    </row>
    <row r="91" spans="1:26" x14ac:dyDescent="0.25">
      <c r="A91" s="1">
        <v>90</v>
      </c>
      <c r="B91" s="1" t="s">
        <v>30</v>
      </c>
      <c r="C91" s="1" t="s">
        <v>31</v>
      </c>
      <c r="D91" s="1">
        <v>35500</v>
      </c>
      <c r="E91" s="1">
        <v>10500</v>
      </c>
      <c r="F91" s="1">
        <f t="shared" si="2"/>
        <v>25000</v>
      </c>
      <c r="G91" s="1">
        <f t="shared" si="3"/>
        <v>0.70422535211267601</v>
      </c>
      <c r="H91" s="1">
        <v>5</v>
      </c>
      <c r="I91" s="1">
        <v>4</v>
      </c>
      <c r="J91" s="1" t="s">
        <v>38</v>
      </c>
      <c r="K91" s="1" t="s">
        <v>41</v>
      </c>
      <c r="L91" s="1">
        <v>100</v>
      </c>
      <c r="M91" s="4">
        <v>19</v>
      </c>
      <c r="N91" s="4">
        <v>1070</v>
      </c>
      <c r="O91" s="4">
        <v>27200</v>
      </c>
      <c r="P91" s="4">
        <v>9200</v>
      </c>
      <c r="Q91" s="4">
        <v>1780</v>
      </c>
      <c r="R91" s="4">
        <v>5</v>
      </c>
      <c r="S91" s="4" t="s">
        <v>54</v>
      </c>
      <c r="T91" s="4" t="s">
        <v>54</v>
      </c>
      <c r="U91" s="4" t="s">
        <v>55</v>
      </c>
      <c r="V91" s="1">
        <v>3</v>
      </c>
      <c r="W91" s="1">
        <v>2</v>
      </c>
      <c r="X91" s="1">
        <v>14</v>
      </c>
      <c r="Y91" s="1">
        <v>10</v>
      </c>
      <c r="Z91" s="1" t="s">
        <v>40</v>
      </c>
    </row>
    <row r="92" spans="1:26" x14ac:dyDescent="0.25">
      <c r="A92" s="1">
        <v>91</v>
      </c>
      <c r="B92" s="1" t="s">
        <v>30</v>
      </c>
      <c r="C92" s="1" t="s">
        <v>31</v>
      </c>
      <c r="D92" s="1">
        <v>35000</v>
      </c>
      <c r="E92" s="1">
        <v>10000</v>
      </c>
      <c r="F92" s="1">
        <f t="shared" si="2"/>
        <v>25000</v>
      </c>
      <c r="G92" s="1">
        <f t="shared" si="3"/>
        <v>0.7142857142857143</v>
      </c>
      <c r="H92" s="1">
        <v>3</v>
      </c>
      <c r="I92" s="1">
        <v>4</v>
      </c>
      <c r="J92" s="1" t="s">
        <v>38</v>
      </c>
      <c r="K92" s="1" t="s">
        <v>43</v>
      </c>
      <c r="L92" s="1">
        <v>92</v>
      </c>
      <c r="M92" s="4">
        <v>10</v>
      </c>
      <c r="N92" s="4">
        <v>610</v>
      </c>
      <c r="O92" s="4">
        <v>14600</v>
      </c>
      <c r="P92" s="4">
        <v>5950</v>
      </c>
      <c r="Q92" s="4">
        <v>740</v>
      </c>
      <c r="R92" s="4">
        <v>4.2</v>
      </c>
      <c r="S92" s="4" t="s">
        <v>54</v>
      </c>
      <c r="T92" s="4" t="s">
        <v>56</v>
      </c>
      <c r="U92" s="4" t="s">
        <v>55</v>
      </c>
      <c r="V92" s="1">
        <v>4</v>
      </c>
      <c r="W92" s="1">
        <v>4</v>
      </c>
      <c r="X92" s="1">
        <v>8</v>
      </c>
      <c r="Y92" s="1">
        <v>6</v>
      </c>
      <c r="Z92" s="1" t="s">
        <v>38</v>
      </c>
    </row>
    <row r="93" spans="1:26" x14ac:dyDescent="0.25">
      <c r="A93" s="1">
        <v>92</v>
      </c>
      <c r="B93" s="1" t="s">
        <v>30</v>
      </c>
      <c r="C93" s="1" t="s">
        <v>31</v>
      </c>
      <c r="D93" s="1">
        <v>34500</v>
      </c>
      <c r="E93" s="1">
        <v>9500</v>
      </c>
      <c r="F93" s="1">
        <f t="shared" si="2"/>
        <v>25000</v>
      </c>
      <c r="G93" s="1">
        <f t="shared" si="3"/>
        <v>0.72463768115942029</v>
      </c>
      <c r="H93" s="1">
        <v>2</v>
      </c>
      <c r="I93" s="1">
        <v>4</v>
      </c>
      <c r="J93" s="1" t="s">
        <v>38</v>
      </c>
      <c r="K93" s="1" t="s">
        <v>43</v>
      </c>
      <c r="L93" s="1">
        <v>84</v>
      </c>
      <c r="M93" s="4">
        <v>8</v>
      </c>
      <c r="N93" s="4">
        <v>410</v>
      </c>
      <c r="O93" s="4">
        <v>9100</v>
      </c>
      <c r="P93" s="4">
        <v>4450</v>
      </c>
      <c r="Q93" s="4">
        <v>340</v>
      </c>
      <c r="R93" s="4">
        <v>3.7</v>
      </c>
      <c r="S93" s="4" t="s">
        <v>56</v>
      </c>
      <c r="T93" s="4" t="s">
        <v>54</v>
      </c>
      <c r="U93" s="4" t="s">
        <v>58</v>
      </c>
      <c r="V93" s="1">
        <v>5</v>
      </c>
      <c r="W93" s="1">
        <v>1</v>
      </c>
      <c r="X93" s="1">
        <v>10</v>
      </c>
      <c r="Y93" s="1">
        <v>9</v>
      </c>
      <c r="Z93" s="1" t="s">
        <v>40</v>
      </c>
    </row>
    <row r="94" spans="1:26" x14ac:dyDescent="0.25">
      <c r="A94" s="1">
        <v>93</v>
      </c>
      <c r="B94" s="1" t="s">
        <v>30</v>
      </c>
      <c r="C94" s="1" t="s">
        <v>31</v>
      </c>
      <c r="D94" s="1">
        <v>34000</v>
      </c>
      <c r="E94" s="1">
        <v>9000</v>
      </c>
      <c r="F94" s="1">
        <f t="shared" si="2"/>
        <v>25000</v>
      </c>
      <c r="G94" s="1">
        <f t="shared" si="3"/>
        <v>0.73529411764705888</v>
      </c>
      <c r="H94" s="1">
        <v>2</v>
      </c>
      <c r="I94" s="1">
        <v>3</v>
      </c>
      <c r="J94" s="1" t="s">
        <v>38</v>
      </c>
      <c r="K94" s="1" t="s">
        <v>43</v>
      </c>
      <c r="L94" s="1">
        <v>96</v>
      </c>
      <c r="M94" s="4">
        <v>15</v>
      </c>
      <c r="N94" s="4">
        <v>860</v>
      </c>
      <c r="O94" s="4">
        <v>21200</v>
      </c>
      <c r="P94" s="4">
        <v>7480</v>
      </c>
      <c r="Q94" s="4">
        <v>1210</v>
      </c>
      <c r="R94" s="4">
        <v>4.5999999999999996</v>
      </c>
      <c r="S94" s="4" t="s">
        <v>54</v>
      </c>
      <c r="T94" s="4" t="s">
        <v>54</v>
      </c>
      <c r="U94" s="4" t="s">
        <v>55</v>
      </c>
      <c r="V94" s="1">
        <v>4</v>
      </c>
      <c r="W94" s="1">
        <v>0</v>
      </c>
      <c r="X94" s="1">
        <v>13</v>
      </c>
      <c r="Y94" s="1">
        <v>8</v>
      </c>
      <c r="Z94" s="1" t="s">
        <v>42</v>
      </c>
    </row>
    <row r="95" spans="1:26" x14ac:dyDescent="0.25">
      <c r="A95" s="1">
        <v>94</v>
      </c>
      <c r="B95" s="1" t="s">
        <v>30</v>
      </c>
      <c r="C95" s="1" t="s">
        <v>31</v>
      </c>
      <c r="D95" s="1">
        <v>33500</v>
      </c>
      <c r="E95" s="1">
        <v>8500</v>
      </c>
      <c r="F95" s="1">
        <f t="shared" si="2"/>
        <v>25000</v>
      </c>
      <c r="G95" s="1">
        <f t="shared" si="3"/>
        <v>0.74626865671641796</v>
      </c>
      <c r="H95" s="1">
        <v>2</v>
      </c>
      <c r="I95" s="1">
        <v>2</v>
      </c>
      <c r="J95" s="1" t="s">
        <v>38</v>
      </c>
      <c r="K95" s="1" t="s">
        <v>43</v>
      </c>
      <c r="L95" s="1">
        <v>90</v>
      </c>
      <c r="M95" s="4">
        <v>3</v>
      </c>
      <c r="N95" s="4">
        <v>145</v>
      </c>
      <c r="O95" s="4">
        <v>4000</v>
      </c>
      <c r="P95" s="4">
        <v>1900</v>
      </c>
      <c r="Q95" s="4">
        <v>100</v>
      </c>
      <c r="R95" s="4">
        <v>2.9</v>
      </c>
      <c r="S95" s="4" t="s">
        <v>56</v>
      </c>
      <c r="T95" s="4" t="s">
        <v>56</v>
      </c>
      <c r="U95" s="4" t="s">
        <v>57</v>
      </c>
      <c r="V95" s="1">
        <v>3</v>
      </c>
      <c r="W95" s="1">
        <v>6</v>
      </c>
      <c r="X95" s="1">
        <v>5</v>
      </c>
      <c r="Y95" s="1">
        <v>7</v>
      </c>
      <c r="Z95" s="1" t="s">
        <v>38</v>
      </c>
    </row>
    <row r="96" spans="1:26" x14ac:dyDescent="0.25">
      <c r="A96" s="1">
        <v>95</v>
      </c>
      <c r="B96" s="1" t="s">
        <v>30</v>
      </c>
      <c r="C96" s="1" t="s">
        <v>31</v>
      </c>
      <c r="D96" s="1">
        <v>33000</v>
      </c>
      <c r="E96" s="1">
        <v>8000</v>
      </c>
      <c r="F96" s="1">
        <f t="shared" si="2"/>
        <v>25000</v>
      </c>
      <c r="G96" s="1">
        <f t="shared" si="3"/>
        <v>0.75757575757575757</v>
      </c>
      <c r="H96" s="1">
        <v>3</v>
      </c>
      <c r="I96" s="1">
        <v>1</v>
      </c>
      <c r="J96" s="1" t="s">
        <v>38</v>
      </c>
      <c r="K96" s="1" t="s">
        <v>43</v>
      </c>
      <c r="L96" s="1">
        <v>85</v>
      </c>
      <c r="M96" s="4">
        <v>17</v>
      </c>
      <c r="N96" s="4">
        <v>970</v>
      </c>
      <c r="O96" s="4">
        <v>24300</v>
      </c>
      <c r="P96" s="4">
        <v>8350</v>
      </c>
      <c r="Q96" s="4">
        <v>1470</v>
      </c>
      <c r="R96" s="4">
        <v>4.8</v>
      </c>
      <c r="S96" s="4" t="s">
        <v>54</v>
      </c>
      <c r="T96" s="4" t="s">
        <v>54</v>
      </c>
      <c r="U96" s="4" t="s">
        <v>55</v>
      </c>
      <c r="V96" s="1">
        <v>5</v>
      </c>
      <c r="W96" s="1">
        <v>3</v>
      </c>
      <c r="X96" s="1">
        <v>9</v>
      </c>
      <c r="Y96" s="1">
        <v>10</v>
      </c>
      <c r="Z96" s="1" t="s">
        <v>40</v>
      </c>
    </row>
    <row r="97" spans="1:26" x14ac:dyDescent="0.25">
      <c r="A97" s="1">
        <v>96</v>
      </c>
      <c r="B97" s="1" t="s">
        <v>30</v>
      </c>
      <c r="C97" s="1" t="s">
        <v>31</v>
      </c>
      <c r="D97" s="1">
        <v>32500</v>
      </c>
      <c r="E97" s="1">
        <v>7500</v>
      </c>
      <c r="F97" s="1">
        <f t="shared" si="2"/>
        <v>25000</v>
      </c>
      <c r="G97" s="1">
        <f t="shared" si="3"/>
        <v>0.76923076923076927</v>
      </c>
      <c r="H97" s="1">
        <v>2</v>
      </c>
      <c r="I97" s="1">
        <v>1</v>
      </c>
      <c r="J97" s="1" t="s">
        <v>38</v>
      </c>
      <c r="K97" s="1" t="s">
        <v>43</v>
      </c>
      <c r="L97" s="1">
        <v>98</v>
      </c>
      <c r="M97" s="4">
        <v>11</v>
      </c>
      <c r="N97" s="4">
        <v>630</v>
      </c>
      <c r="O97" s="4">
        <v>15700</v>
      </c>
      <c r="P97" s="4">
        <v>5920</v>
      </c>
      <c r="Q97" s="4">
        <v>830</v>
      </c>
      <c r="R97" s="4">
        <v>4.3</v>
      </c>
      <c r="S97" s="4" t="s">
        <v>54</v>
      </c>
      <c r="T97" s="4" t="s">
        <v>56</v>
      </c>
      <c r="U97" s="4" t="s">
        <v>55</v>
      </c>
      <c r="V97" s="1">
        <v>4</v>
      </c>
      <c r="W97" s="1">
        <v>2</v>
      </c>
      <c r="X97" s="1">
        <v>12</v>
      </c>
      <c r="Y97" s="1">
        <v>8</v>
      </c>
      <c r="Z97" s="1" t="s">
        <v>42</v>
      </c>
    </row>
    <row r="98" spans="1:26" x14ac:dyDescent="0.25">
      <c r="A98" s="1">
        <v>97</v>
      </c>
      <c r="B98" s="1" t="s">
        <v>30</v>
      </c>
      <c r="C98" s="1" t="s">
        <v>31</v>
      </c>
      <c r="D98" s="1">
        <v>32000</v>
      </c>
      <c r="E98" s="1">
        <v>7000</v>
      </c>
      <c r="F98" s="1">
        <f t="shared" si="2"/>
        <v>25000</v>
      </c>
      <c r="G98" s="1">
        <f t="shared" si="3"/>
        <v>0.78125</v>
      </c>
      <c r="H98" s="1">
        <v>3</v>
      </c>
      <c r="I98" s="1">
        <v>1</v>
      </c>
      <c r="J98" s="1" t="s">
        <v>38</v>
      </c>
      <c r="K98" s="1" t="s">
        <v>43</v>
      </c>
      <c r="L98" s="1">
        <v>88</v>
      </c>
      <c r="M98" s="4">
        <v>7</v>
      </c>
      <c r="N98" s="4">
        <v>330</v>
      </c>
      <c r="O98" s="4">
        <v>8000</v>
      </c>
      <c r="P98" s="4">
        <v>4050</v>
      </c>
      <c r="Q98" s="4">
        <v>295</v>
      </c>
      <c r="R98" s="4">
        <v>3.5</v>
      </c>
      <c r="S98" s="4" t="s">
        <v>56</v>
      </c>
      <c r="T98" s="4" t="s">
        <v>54</v>
      </c>
      <c r="U98" s="4" t="s">
        <v>58</v>
      </c>
      <c r="V98" s="1">
        <v>2</v>
      </c>
      <c r="W98" s="1">
        <v>5</v>
      </c>
      <c r="X98" s="1">
        <v>7</v>
      </c>
      <c r="Y98" s="1">
        <v>9</v>
      </c>
      <c r="Z98" s="1" t="s">
        <v>40</v>
      </c>
    </row>
    <row r="99" spans="1:26" x14ac:dyDescent="0.25">
      <c r="A99" s="1">
        <v>98</v>
      </c>
      <c r="B99" s="1" t="s">
        <v>30</v>
      </c>
      <c r="C99" s="1" t="s">
        <v>31</v>
      </c>
      <c r="D99" s="1">
        <v>31500</v>
      </c>
      <c r="E99" s="1">
        <v>6500</v>
      </c>
      <c r="F99" s="1">
        <f t="shared" si="2"/>
        <v>25000</v>
      </c>
      <c r="G99" s="1">
        <f t="shared" si="3"/>
        <v>0.79365079365079361</v>
      </c>
      <c r="H99" s="1">
        <v>2</v>
      </c>
      <c r="I99" s="1">
        <v>1</v>
      </c>
      <c r="J99" s="1" t="s">
        <v>38</v>
      </c>
      <c r="K99" s="1" t="s">
        <v>43</v>
      </c>
      <c r="L99" s="1">
        <v>94</v>
      </c>
      <c r="M99" s="4">
        <v>14</v>
      </c>
      <c r="N99" s="4">
        <v>820</v>
      </c>
      <c r="O99" s="4">
        <v>20300</v>
      </c>
      <c r="P99" s="4">
        <v>7400</v>
      </c>
      <c r="Q99" s="4">
        <v>1120</v>
      </c>
      <c r="R99" s="4">
        <v>4.5999999999999996</v>
      </c>
      <c r="S99" s="4" t="s">
        <v>54</v>
      </c>
      <c r="T99" s="4" t="s">
        <v>54</v>
      </c>
      <c r="U99" s="4" t="s">
        <v>55</v>
      </c>
      <c r="V99" s="1">
        <v>3</v>
      </c>
      <c r="W99" s="1">
        <v>1</v>
      </c>
      <c r="X99" s="1">
        <v>11</v>
      </c>
      <c r="Y99" s="1">
        <v>7</v>
      </c>
      <c r="Z99" s="1" t="s">
        <v>38</v>
      </c>
    </row>
    <row r="100" spans="1:26" x14ac:dyDescent="0.25">
      <c r="A100" s="1">
        <v>99</v>
      </c>
      <c r="B100" s="1" t="s">
        <v>30</v>
      </c>
      <c r="C100" s="1" t="s">
        <v>31</v>
      </c>
      <c r="D100" s="1">
        <v>31000</v>
      </c>
      <c r="E100" s="1">
        <v>6000</v>
      </c>
      <c r="F100" s="1">
        <f t="shared" si="2"/>
        <v>25000</v>
      </c>
      <c r="G100" s="1">
        <f t="shared" si="3"/>
        <v>0.80645161290322576</v>
      </c>
      <c r="H100" s="1">
        <v>2</v>
      </c>
      <c r="I100" s="1">
        <v>1</v>
      </c>
      <c r="J100" s="1" t="s">
        <v>38</v>
      </c>
      <c r="K100" s="1" t="s">
        <v>43</v>
      </c>
      <c r="L100" s="1">
        <v>91</v>
      </c>
      <c r="M100" s="4">
        <v>5</v>
      </c>
      <c r="N100" s="4">
        <v>185</v>
      </c>
      <c r="O100" s="4">
        <v>4900</v>
      </c>
      <c r="P100" s="4">
        <v>2350</v>
      </c>
      <c r="Q100" s="4">
        <v>155</v>
      </c>
      <c r="R100" s="4">
        <v>3.2</v>
      </c>
      <c r="S100" s="4" t="s">
        <v>56</v>
      </c>
      <c r="T100" s="4" t="s">
        <v>56</v>
      </c>
      <c r="U100" s="4" t="s">
        <v>57</v>
      </c>
      <c r="V100" s="1">
        <v>4</v>
      </c>
      <c r="W100" s="1">
        <v>4</v>
      </c>
      <c r="X100" s="1">
        <v>6</v>
      </c>
      <c r="Y100" s="1">
        <v>6</v>
      </c>
      <c r="Z100" s="1" t="s">
        <v>42</v>
      </c>
    </row>
    <row r="101" spans="1:26" x14ac:dyDescent="0.25">
      <c r="A101" s="1">
        <v>100</v>
      </c>
      <c r="B101" s="1" t="s">
        <v>30</v>
      </c>
      <c r="C101" s="1" t="s">
        <v>31</v>
      </c>
      <c r="D101" s="1">
        <v>30500</v>
      </c>
      <c r="E101" s="1">
        <v>5500</v>
      </c>
      <c r="F101" s="1">
        <f t="shared" si="2"/>
        <v>25000</v>
      </c>
      <c r="G101" s="1">
        <f t="shared" si="3"/>
        <v>0.81967213114754101</v>
      </c>
      <c r="H101" s="1">
        <v>2</v>
      </c>
      <c r="I101" s="1">
        <v>1</v>
      </c>
      <c r="J101" s="1" t="s">
        <v>38</v>
      </c>
      <c r="K101" s="1" t="s">
        <v>43</v>
      </c>
      <c r="L101" s="1">
        <v>88</v>
      </c>
      <c r="M101" s="1">
        <v>8</v>
      </c>
      <c r="N101" s="1">
        <v>450</v>
      </c>
      <c r="O101" s="1">
        <v>5700</v>
      </c>
      <c r="P101" s="1">
        <v>2100</v>
      </c>
      <c r="Q101" s="1">
        <v>200</v>
      </c>
      <c r="R101" s="1">
        <v>5.0999999999999996</v>
      </c>
      <c r="S101" s="1" t="s">
        <v>56</v>
      </c>
      <c r="T101" s="1" t="s">
        <v>54</v>
      </c>
      <c r="U101" s="1" t="s">
        <v>57</v>
      </c>
      <c r="V101" s="1">
        <v>5</v>
      </c>
      <c r="W101" s="1">
        <v>0</v>
      </c>
      <c r="X101" s="1">
        <v>15</v>
      </c>
      <c r="Y101" s="1">
        <v>10</v>
      </c>
      <c r="Z101" s="1" t="s">
        <v>40</v>
      </c>
    </row>
    <row r="102" spans="1:26" x14ac:dyDescent="0.25">
      <c r="A102" s="1" t="s">
        <v>59</v>
      </c>
      <c r="B102" s="1">
        <f>COUNT(A2:A101)</f>
        <v>100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>
        <v>4</v>
      </c>
      <c r="W102" s="1"/>
      <c r="X102" s="1"/>
      <c r="Y102" s="1"/>
      <c r="Z102" s="1"/>
    </row>
    <row r="103" spans="1:26" x14ac:dyDescent="0.25">
      <c r="A103" s="1" t="s">
        <v>60</v>
      </c>
      <c r="B103" s="1">
        <f>SUM(F2:F101)</f>
        <v>2703000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 t="s">
        <v>61</v>
      </c>
      <c r="B104" s="1">
        <f>AVERAGE(G2:G101)</f>
        <v>0.4780929265184547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 t="s">
        <v>62</v>
      </c>
      <c r="B105" s="1">
        <f>MAX(D2:D101)</f>
        <v>250000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 t="s">
        <v>63</v>
      </c>
      <c r="B106" s="1">
        <f>MIN(D2:D101)</f>
        <v>30500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 t="s">
        <v>64</v>
      </c>
      <c r="B107" s="1">
        <f>AVERAGE(D2:D101)</f>
        <v>63230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 t="s">
        <v>65</v>
      </c>
      <c r="B108" s="1">
        <f>SUM(O2:O101)</f>
        <v>2682000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 t="s">
        <v>66</v>
      </c>
      <c r="B109" s="1">
        <f>MAX(O2:O101)</f>
        <v>95000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 t="s">
        <v>67</v>
      </c>
      <c r="B110" s="1">
        <f>MIN(O2:O101)</f>
        <v>3200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 t="s">
        <v>68</v>
      </c>
      <c r="B111" s="1">
        <f>AVERAGE(L2:L101)</f>
        <v>90.78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 t="s">
        <v>69</v>
      </c>
      <c r="B112" s="1">
        <f>MAX(L2:L101)</f>
        <v>100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 t="s">
        <v>70</v>
      </c>
      <c r="B113" s="1">
        <f>MIN(L2:L101)</f>
        <v>44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 t="s">
        <v>71</v>
      </c>
      <c r="B114" s="1">
        <f>AVERAGE(R2:R101)</f>
        <v>4.7640000000000002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 t="s">
        <v>72</v>
      </c>
      <c r="B115" s="1">
        <f>MAX(R2:R101)</f>
        <v>10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 t="s">
        <v>73</v>
      </c>
      <c r="B116" s="1">
        <f>SUM(P2:P101)</f>
        <v>1793780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19</vt:i4>
      </vt:variant>
    </vt:vector>
  </HeadingPairs>
  <TitlesOfParts>
    <vt:vector size="19" baseType="lpstr">
      <vt:lpstr>ورقة5</vt:lpstr>
      <vt:lpstr>ورقة4</vt:lpstr>
      <vt:lpstr>ورقة6</vt:lpstr>
      <vt:lpstr>ورقة7</vt:lpstr>
      <vt:lpstr>ورقة3</vt:lpstr>
      <vt:lpstr>ورقة8</vt:lpstr>
      <vt:lpstr>ورقة9</vt:lpstr>
      <vt:lpstr>ورقة10</vt:lpstr>
      <vt:lpstr>ورقة11</vt:lpstr>
      <vt:lpstr>مجموع  salary</vt:lpstr>
      <vt:lpstr>idعدد1</vt:lpstr>
      <vt:lpstr>performance score</vt:lpstr>
      <vt:lpstr>IDعدد</vt:lpstr>
      <vt:lpstr>current and proposed salary</vt:lpstr>
      <vt:lpstr>ID</vt:lpstr>
      <vt:lpstr>Savings</vt:lpstr>
      <vt:lpstr>Reduction</vt:lpstr>
      <vt:lpstr>ورقة25</vt:lpstr>
      <vt:lpstr>ورقة1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2026-06-06T14:52:08Z</dcterms:created>
  <dcterms:modified xsi:type="dcterms:W3CDTF">2026-07-14T12:34:27Z</dcterms:modified>
</cp:coreProperties>
</file>